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_ALEX_\_RESEARCH\MeRenGO\Behav\tasks\MRnGO_guessingtask_psychopy_CLONE\"/>
    </mc:Choice>
  </mc:AlternateContent>
  <xr:revisionPtr revIDLastSave="0" documentId="13_ncr:1_{36D60BB0-E224-4436-A05D-BB1E96F685D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inal" sheetId="5" r:id="rId1"/>
    <sheet name="Curation" sheetId="1" r:id="rId2"/>
    <sheet name="FeaturePool" sheetId="2" r:id="rId3"/>
    <sheet name="Progress" sheetId="3" r:id="rId4"/>
    <sheet name="Viz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0" i="1" l="1"/>
  <c r="F180" i="1"/>
  <c r="E125" i="1"/>
  <c r="F125" i="1"/>
  <c r="F117" i="1"/>
  <c r="F118" i="1"/>
  <c r="F119" i="1"/>
  <c r="F120" i="1"/>
  <c r="F121" i="1"/>
  <c r="F122" i="1"/>
  <c r="F123" i="1"/>
  <c r="F124" i="1"/>
  <c r="F116" i="1"/>
  <c r="E204" i="1"/>
  <c r="E117" i="1"/>
  <c r="E118" i="1"/>
  <c r="E119" i="1"/>
  <c r="E120" i="1"/>
  <c r="E121" i="1"/>
  <c r="E122" i="1"/>
  <c r="E123" i="1"/>
  <c r="E124" i="1"/>
  <c r="E116" i="1"/>
  <c r="C15" i="3"/>
  <c r="E289" i="1"/>
  <c r="E315" i="1"/>
  <c r="E316" i="1"/>
  <c r="E317" i="1"/>
  <c r="E318" i="1"/>
  <c r="E319" i="1"/>
  <c r="E320" i="1"/>
  <c r="E321" i="1"/>
  <c r="E322" i="1"/>
  <c r="E323" i="1"/>
  <c r="E314" i="1"/>
  <c r="E304" i="1"/>
  <c r="E305" i="1"/>
  <c r="C274" i="4" s="1" a="1"/>
  <c r="C274" i="4" s="1"/>
  <c r="E306" i="1"/>
  <c r="E307" i="1"/>
  <c r="E308" i="1"/>
  <c r="C277" i="4" s="1" a="1"/>
  <c r="C277" i="4" s="1"/>
  <c r="E309" i="1"/>
  <c r="C278" i="4" s="1" a="1"/>
  <c r="C278" i="4" s="1"/>
  <c r="E310" i="1"/>
  <c r="C279" i="4" s="1" a="1"/>
  <c r="C279" i="4" s="1"/>
  <c r="E311" i="1"/>
  <c r="C280" i="4" s="1" a="1"/>
  <c r="C280" i="4" s="1"/>
  <c r="E312" i="1"/>
  <c r="C281" i="4" s="1" a="1"/>
  <c r="C281" i="4" s="1"/>
  <c r="E303" i="1"/>
  <c r="C272" i="4" s="1" a="1"/>
  <c r="C272" i="4" s="1"/>
  <c r="E293" i="1"/>
  <c r="E294" i="1"/>
  <c r="E295" i="1"/>
  <c r="E296" i="1"/>
  <c r="E297" i="1"/>
  <c r="E298" i="1"/>
  <c r="E299" i="1"/>
  <c r="E300" i="1"/>
  <c r="E301" i="1"/>
  <c r="E292" i="1"/>
  <c r="E282" i="1"/>
  <c r="C253" i="4" s="1" a="1"/>
  <c r="C253" i="4" s="1"/>
  <c r="E283" i="1"/>
  <c r="E284" i="1"/>
  <c r="E285" i="1"/>
  <c r="E286" i="1"/>
  <c r="E287" i="1"/>
  <c r="E288" i="1"/>
  <c r="E290" i="1"/>
  <c r="E281" i="1"/>
  <c r="E271" i="1"/>
  <c r="E272" i="1"/>
  <c r="E273" i="1"/>
  <c r="E274" i="1"/>
  <c r="E275" i="1"/>
  <c r="C247" i="4" s="1" a="1"/>
  <c r="C247" i="4" s="1"/>
  <c r="E276" i="1"/>
  <c r="E277" i="1"/>
  <c r="E278" i="1"/>
  <c r="E279" i="1"/>
  <c r="E270" i="1"/>
  <c r="E260" i="1"/>
  <c r="E261" i="1"/>
  <c r="E262" i="1"/>
  <c r="E263" i="1"/>
  <c r="C236" i="4" s="1" a="1"/>
  <c r="C236" i="4" s="1"/>
  <c r="E264" i="1"/>
  <c r="E265" i="1"/>
  <c r="C238" i="4" s="1" a="1"/>
  <c r="C238" i="4" s="1"/>
  <c r="E266" i="1"/>
  <c r="E267" i="1"/>
  <c r="E268" i="1"/>
  <c r="C241" i="4" s="1" a="1"/>
  <c r="C241" i="4" s="1"/>
  <c r="E259" i="1"/>
  <c r="E238" i="1"/>
  <c r="C213" i="4" s="1" a="1"/>
  <c r="C213" i="4" s="1"/>
  <c r="E239" i="1"/>
  <c r="C214" i="4" s="1" a="1"/>
  <c r="C214" i="4" s="1"/>
  <c r="E240" i="1"/>
  <c r="E241" i="1"/>
  <c r="E242" i="1"/>
  <c r="E243" i="1"/>
  <c r="E244" i="1"/>
  <c r="E245" i="1"/>
  <c r="C220" i="4" s="1" a="1"/>
  <c r="C220" i="4" s="1"/>
  <c r="E246" i="1"/>
  <c r="C221" i="4" s="1" a="1"/>
  <c r="C221" i="4" s="1"/>
  <c r="E237" i="1"/>
  <c r="E216" i="1"/>
  <c r="E217" i="1"/>
  <c r="E218" i="1"/>
  <c r="E219" i="1"/>
  <c r="E220" i="1"/>
  <c r="E221" i="1"/>
  <c r="E222" i="1"/>
  <c r="C199" i="4" s="1" a="1"/>
  <c r="C199" i="4" s="1"/>
  <c r="E223" i="1"/>
  <c r="E224" i="1"/>
  <c r="E215" i="1"/>
  <c r="E205" i="1"/>
  <c r="C183" i="4" s="1" a="1"/>
  <c r="C183" i="4" s="1"/>
  <c r="E206" i="1"/>
  <c r="E207" i="1"/>
  <c r="E208" i="1"/>
  <c r="E209" i="1"/>
  <c r="E210" i="1"/>
  <c r="E211" i="1"/>
  <c r="E212" i="1"/>
  <c r="E213" i="1"/>
  <c r="E194" i="1"/>
  <c r="E195" i="1"/>
  <c r="E196" i="1"/>
  <c r="E197" i="1"/>
  <c r="C176" i="4" s="1" a="1"/>
  <c r="C176" i="4" s="1"/>
  <c r="E198" i="1"/>
  <c r="E199" i="1"/>
  <c r="E200" i="1"/>
  <c r="E201" i="1"/>
  <c r="E202" i="1"/>
  <c r="E193" i="1"/>
  <c r="E183" i="1"/>
  <c r="E184" i="1"/>
  <c r="E185" i="1"/>
  <c r="E186" i="1"/>
  <c r="E187" i="1"/>
  <c r="E188" i="1"/>
  <c r="E189" i="1"/>
  <c r="E190" i="1"/>
  <c r="E191" i="1"/>
  <c r="C171" i="4" s="1" a="1"/>
  <c r="C171" i="4" s="1"/>
  <c r="E182" i="1"/>
  <c r="F172" i="1"/>
  <c r="D153" i="4" s="1" a="1"/>
  <c r="D153" i="4" s="1"/>
  <c r="F173" i="1"/>
  <c r="F174" i="1"/>
  <c r="F175" i="1"/>
  <c r="F176" i="1"/>
  <c r="D157" i="4" s="1" a="1"/>
  <c r="D157" i="4" s="1"/>
  <c r="F177" i="1"/>
  <c r="F178" i="1"/>
  <c r="F179" i="1"/>
  <c r="F171" i="1"/>
  <c r="E172" i="1"/>
  <c r="C153" i="4" s="1" a="1"/>
  <c r="C153" i="4" s="1"/>
  <c r="E173" i="1"/>
  <c r="E174" i="1"/>
  <c r="E175" i="1"/>
  <c r="E176" i="1"/>
  <c r="E177" i="1"/>
  <c r="C158" i="4" s="1" a="1"/>
  <c r="C158" i="4" s="1"/>
  <c r="E178" i="1"/>
  <c r="C159" i="4" s="1" a="1"/>
  <c r="C159" i="4" s="1"/>
  <c r="E179" i="1"/>
  <c r="C160" i="4" s="1" a="1"/>
  <c r="C160" i="4" s="1"/>
  <c r="C161" i="4" a="1"/>
  <c r="C161" i="4" s="1"/>
  <c r="E171" i="1"/>
  <c r="F161" i="1"/>
  <c r="F162" i="1"/>
  <c r="F163" i="1"/>
  <c r="F164" i="1"/>
  <c r="F165" i="1"/>
  <c r="F166" i="1"/>
  <c r="F167" i="1"/>
  <c r="F168" i="1"/>
  <c r="F169" i="1"/>
  <c r="F160" i="1"/>
  <c r="E161" i="1"/>
  <c r="E162" i="1"/>
  <c r="C144" i="4" s="1" a="1"/>
  <c r="C144" i="4" s="1"/>
  <c r="E163" i="1"/>
  <c r="C145" i="4" s="1" a="1"/>
  <c r="C145" i="4" s="1"/>
  <c r="E164" i="1"/>
  <c r="E165" i="1"/>
  <c r="E166" i="1"/>
  <c r="E167" i="1"/>
  <c r="E168" i="1"/>
  <c r="E169" i="1"/>
  <c r="E160" i="1"/>
  <c r="F150" i="1"/>
  <c r="F151" i="1"/>
  <c r="F152" i="1"/>
  <c r="F153" i="1"/>
  <c r="D136" i="4" s="1" a="1"/>
  <c r="D136" i="4" s="1"/>
  <c r="F154" i="1"/>
  <c r="F155" i="1"/>
  <c r="F156" i="1"/>
  <c r="F157" i="1"/>
  <c r="F158" i="1"/>
  <c r="D141" i="4" s="1" a="1"/>
  <c r="D141" i="4" s="1"/>
  <c r="F149" i="1"/>
  <c r="D132" i="4" s="1" a="1"/>
  <c r="D132" i="4" s="1"/>
  <c r="E150" i="1"/>
  <c r="E151" i="1"/>
  <c r="E152" i="1"/>
  <c r="E153" i="1"/>
  <c r="E154" i="1"/>
  <c r="E155" i="1"/>
  <c r="E156" i="1"/>
  <c r="E157" i="1"/>
  <c r="E158" i="1"/>
  <c r="E149" i="1"/>
  <c r="F139" i="1"/>
  <c r="F140" i="1"/>
  <c r="F141" i="1"/>
  <c r="F142" i="1"/>
  <c r="F143" i="1"/>
  <c r="D127" i="4" s="1" a="1"/>
  <c r="D127" i="4" s="1"/>
  <c r="F144" i="1"/>
  <c r="D128" i="4" s="1" a="1"/>
  <c r="D128" i="4" s="1"/>
  <c r="F145" i="1"/>
  <c r="F146" i="1"/>
  <c r="F147" i="1"/>
  <c r="F138" i="1"/>
  <c r="E139" i="1"/>
  <c r="E140" i="1"/>
  <c r="E141" i="1"/>
  <c r="E142" i="1"/>
  <c r="E143" i="1"/>
  <c r="E144" i="1"/>
  <c r="E145" i="1"/>
  <c r="E146" i="1"/>
  <c r="E147" i="1"/>
  <c r="E138" i="1"/>
  <c r="F128" i="1"/>
  <c r="D113" i="4" s="1" a="1"/>
  <c r="D113" i="4" s="1"/>
  <c r="F129" i="1"/>
  <c r="D114" i="4" s="1" a="1"/>
  <c r="D114" i="4" s="1"/>
  <c r="F130" i="1"/>
  <c r="F131" i="1"/>
  <c r="F132" i="1"/>
  <c r="F133" i="1"/>
  <c r="D118" i="4" s="1" a="1"/>
  <c r="D118" i="4" s="1"/>
  <c r="F134" i="1"/>
  <c r="F135" i="1"/>
  <c r="D120" i="4" s="1" a="1"/>
  <c r="D120" i="4" s="1"/>
  <c r="F136" i="1"/>
  <c r="F127" i="1"/>
  <c r="E128" i="1"/>
  <c r="E129" i="1"/>
  <c r="E130" i="1"/>
  <c r="E131" i="1"/>
  <c r="E132" i="1"/>
  <c r="E133" i="1"/>
  <c r="E134" i="1"/>
  <c r="E135" i="1"/>
  <c r="E136" i="1"/>
  <c r="E127" i="1"/>
  <c r="D102" i="4" a="1"/>
  <c r="D102" i="4" s="1"/>
  <c r="C103" i="4" a="1"/>
  <c r="C103" i="4" s="1"/>
  <c r="F106" i="1"/>
  <c r="F107" i="1"/>
  <c r="D94" i="4" s="1" a="1"/>
  <c r="D94" i="4" s="1"/>
  <c r="F108" i="1"/>
  <c r="F109" i="1"/>
  <c r="F110" i="1"/>
  <c r="F111" i="1"/>
  <c r="D98" i="4" s="1" a="1"/>
  <c r="D98" i="4" s="1"/>
  <c r="F112" i="1"/>
  <c r="F113" i="1"/>
  <c r="D100" i="4" s="1" a="1"/>
  <c r="D100" i="4" s="1"/>
  <c r="F114" i="1"/>
  <c r="F105" i="1"/>
  <c r="E106" i="1"/>
  <c r="C93" i="4" s="1" a="1"/>
  <c r="C93" i="4" s="1"/>
  <c r="E107" i="1"/>
  <c r="C94" i="4" s="1" a="1"/>
  <c r="C94" i="4" s="1"/>
  <c r="E108" i="1"/>
  <c r="E109" i="1"/>
  <c r="C96" i="4" s="1" a="1"/>
  <c r="C96" i="4" s="1"/>
  <c r="E110" i="1"/>
  <c r="C97" i="4" s="1" a="1"/>
  <c r="C97" i="4" s="1"/>
  <c r="E111" i="1"/>
  <c r="C98" i="4" s="1" a="1"/>
  <c r="C98" i="4" s="1"/>
  <c r="E112" i="1"/>
  <c r="E113" i="1"/>
  <c r="C100" i="4" s="1" a="1"/>
  <c r="C100" i="4" s="1"/>
  <c r="E114" i="1"/>
  <c r="E105" i="1"/>
  <c r="F95" i="1"/>
  <c r="F96" i="1"/>
  <c r="D84" i="4" s="1" a="1"/>
  <c r="D84" i="4" s="1"/>
  <c r="F97" i="1"/>
  <c r="F98" i="1"/>
  <c r="F99" i="1"/>
  <c r="F100" i="1"/>
  <c r="F101" i="1"/>
  <c r="D89" i="4" s="1" a="1"/>
  <c r="D89" i="4" s="1"/>
  <c r="F102" i="1"/>
  <c r="D90" i="4" s="1" a="1"/>
  <c r="D90" i="4" s="1"/>
  <c r="F103" i="1"/>
  <c r="F94" i="1"/>
  <c r="D82" i="4" s="1" a="1"/>
  <c r="D82" i="4" s="1"/>
  <c r="E95" i="1"/>
  <c r="E96" i="1"/>
  <c r="E97" i="1"/>
  <c r="E98" i="1"/>
  <c r="C86" i="4" s="1" a="1"/>
  <c r="C86" i="4" s="1"/>
  <c r="E99" i="1"/>
  <c r="E100" i="1"/>
  <c r="E101" i="1"/>
  <c r="E102" i="1"/>
  <c r="E103" i="1"/>
  <c r="C91" i="4" s="1" a="1"/>
  <c r="C91" i="4" s="1"/>
  <c r="E94" i="1"/>
  <c r="C82" i="4" s="1" a="1"/>
  <c r="C82" i="4" s="1"/>
  <c r="F84" i="1"/>
  <c r="F85" i="1"/>
  <c r="F86" i="1"/>
  <c r="D75" i="4" s="1" a="1"/>
  <c r="D75" i="4" s="1"/>
  <c r="F87" i="1"/>
  <c r="D76" i="4" s="1" a="1"/>
  <c r="D76" i="4" s="1"/>
  <c r="F88" i="1"/>
  <c r="D77" i="4" s="1" a="1"/>
  <c r="D77" i="4" s="1"/>
  <c r="F89" i="1"/>
  <c r="F90" i="1"/>
  <c r="D79" i="4" s="1" a="1"/>
  <c r="D79" i="4" s="1"/>
  <c r="F91" i="1"/>
  <c r="F92" i="1"/>
  <c r="F83" i="1"/>
  <c r="D72" i="4" s="1" a="1"/>
  <c r="D72" i="4" s="1"/>
  <c r="E84" i="1"/>
  <c r="E85" i="1"/>
  <c r="E86" i="1"/>
  <c r="C75" i="4" s="1" a="1"/>
  <c r="C75" i="4" s="1"/>
  <c r="E87" i="1"/>
  <c r="E88" i="1"/>
  <c r="C77" i="4" s="1" a="1"/>
  <c r="C77" i="4" s="1"/>
  <c r="E89" i="1"/>
  <c r="E90" i="1"/>
  <c r="E91" i="1"/>
  <c r="E92" i="1"/>
  <c r="C81" i="4" s="1" a="1"/>
  <c r="C81" i="4" s="1"/>
  <c r="E83" i="1"/>
  <c r="C72" i="4" s="1" a="1"/>
  <c r="C72" i="4" s="1"/>
  <c r="F73" i="1"/>
  <c r="D63" i="4" s="1" a="1"/>
  <c r="D63" i="4" s="1"/>
  <c r="F74" i="1"/>
  <c r="F75" i="1"/>
  <c r="F76" i="1"/>
  <c r="D66" i="4" s="1" a="1"/>
  <c r="D66" i="4" s="1"/>
  <c r="F77" i="1"/>
  <c r="F78" i="1"/>
  <c r="D68" i="4" s="1" a="1"/>
  <c r="D68" i="4" s="1"/>
  <c r="F79" i="1"/>
  <c r="F80" i="1"/>
  <c r="D70" i="4" s="1" a="1"/>
  <c r="D70" i="4" s="1"/>
  <c r="F81" i="1"/>
  <c r="D71" i="4" s="1" a="1"/>
  <c r="D71" i="4" s="1"/>
  <c r="F72" i="1"/>
  <c r="E73" i="1"/>
  <c r="E74" i="1"/>
  <c r="E75" i="1"/>
  <c r="E76" i="1"/>
  <c r="E77" i="1"/>
  <c r="C67" i="4" s="1" a="1"/>
  <c r="C67" i="4" s="1"/>
  <c r="E78" i="1"/>
  <c r="C68" i="4" s="1" a="1"/>
  <c r="C68" i="4" s="1"/>
  <c r="E79" i="1"/>
  <c r="E80" i="1"/>
  <c r="C70" i="4" s="1" a="1"/>
  <c r="C70" i="4" s="1"/>
  <c r="E81" i="1"/>
  <c r="E72" i="1"/>
  <c r="C62" i="4" s="1" a="1"/>
  <c r="C62" i="4" s="1"/>
  <c r="F62" i="1"/>
  <c r="F63" i="1"/>
  <c r="D54" i="4" s="1" a="1"/>
  <c r="D54" i="4" s="1"/>
  <c r="F64" i="1"/>
  <c r="F65" i="1"/>
  <c r="D56" i="4" s="1" a="1"/>
  <c r="D56" i="4" s="1"/>
  <c r="F66" i="1"/>
  <c r="F67" i="1"/>
  <c r="D58" i="4" s="1" a="1"/>
  <c r="D58" i="4" s="1"/>
  <c r="F68" i="1"/>
  <c r="F69" i="1"/>
  <c r="F70" i="1"/>
  <c r="F61" i="1"/>
  <c r="E62" i="1"/>
  <c r="C53" i="4" s="1" a="1"/>
  <c r="C53" i="4" s="1"/>
  <c r="E63" i="1"/>
  <c r="C54" i="4" s="1" a="1"/>
  <c r="C54" i="4" s="1"/>
  <c r="E64" i="1"/>
  <c r="E65" i="1"/>
  <c r="C56" i="4" s="1" a="1"/>
  <c r="C56" i="4" s="1"/>
  <c r="E66" i="1"/>
  <c r="C57" i="4" s="1" a="1"/>
  <c r="C57" i="4" s="1"/>
  <c r="E67" i="1"/>
  <c r="E68" i="1"/>
  <c r="E69" i="1"/>
  <c r="C60" i="4" s="1" a="1"/>
  <c r="C60" i="4" s="1"/>
  <c r="E70" i="1"/>
  <c r="E61" i="1"/>
  <c r="C52" i="4" s="1" a="1"/>
  <c r="C52" i="4" s="1"/>
  <c r="F51" i="1"/>
  <c r="D43" i="4" s="1" a="1"/>
  <c r="D43" i="4" s="1"/>
  <c r="F52" i="1"/>
  <c r="F53" i="1"/>
  <c r="F54" i="1"/>
  <c r="D46" i="4" s="1" a="1"/>
  <c r="D46" i="4" s="1"/>
  <c r="F55" i="1"/>
  <c r="F56" i="1"/>
  <c r="D48" i="4" s="1" a="1"/>
  <c r="D48" i="4" s="1"/>
  <c r="F57" i="1"/>
  <c r="D49" i="4" s="1" a="1"/>
  <c r="D49" i="4" s="1"/>
  <c r="F58" i="1"/>
  <c r="D50" i="4" s="1" a="1"/>
  <c r="D50" i="4" s="1"/>
  <c r="F59" i="1"/>
  <c r="F50" i="1"/>
  <c r="D42" i="4" s="1" a="1"/>
  <c r="D42" i="4" s="1"/>
  <c r="E51" i="1"/>
  <c r="E52" i="1"/>
  <c r="E53" i="1"/>
  <c r="E54" i="1"/>
  <c r="C46" i="4" s="1" a="1"/>
  <c r="C46" i="4" s="1"/>
  <c r="E55" i="1"/>
  <c r="E56" i="1"/>
  <c r="E57" i="1"/>
  <c r="E58" i="1"/>
  <c r="E59" i="1"/>
  <c r="C51" i="4" s="1" a="1"/>
  <c r="C51" i="4" s="1"/>
  <c r="E50" i="1"/>
  <c r="C42" i="4" s="1" a="1"/>
  <c r="C42" i="4" s="1"/>
  <c r="F29" i="1"/>
  <c r="F30" i="1"/>
  <c r="F31" i="1"/>
  <c r="D25" i="4" s="1" a="1"/>
  <c r="D25" i="4" s="1"/>
  <c r="F32" i="1"/>
  <c r="D26" i="4" s="1" a="1"/>
  <c r="D26" i="4" s="1"/>
  <c r="F33" i="1"/>
  <c r="D27" i="4" s="1" a="1"/>
  <c r="D27" i="4" s="1"/>
  <c r="F34" i="1"/>
  <c r="F35" i="1"/>
  <c r="D29" i="4" s="1" a="1"/>
  <c r="D29" i="4" s="1"/>
  <c r="F36" i="1"/>
  <c r="F37" i="1"/>
  <c r="F28" i="1"/>
  <c r="D22" i="4" s="1" a="1"/>
  <c r="D22" i="4" s="1"/>
  <c r="E29" i="1"/>
  <c r="E30" i="1"/>
  <c r="E31" i="1"/>
  <c r="E32" i="1"/>
  <c r="C26" i="4" s="1" a="1"/>
  <c r="C26" i="4" s="1"/>
  <c r="E33" i="1"/>
  <c r="E34" i="1"/>
  <c r="C28" i="4" s="1" a="1"/>
  <c r="C28" i="4" s="1"/>
  <c r="E35" i="1"/>
  <c r="E36" i="1"/>
  <c r="C30" i="4" s="1" a="1"/>
  <c r="C30" i="4" s="1"/>
  <c r="E37" i="1"/>
  <c r="C31" i="4" s="1" a="1"/>
  <c r="C31" i="4" s="1"/>
  <c r="E28" i="1"/>
  <c r="C22" i="4" s="1" a="1"/>
  <c r="C22" i="4" s="1"/>
  <c r="F40" i="1"/>
  <c r="F41" i="1"/>
  <c r="D34" i="4" s="1" a="1"/>
  <c r="D34" i="4" s="1"/>
  <c r="F42" i="1"/>
  <c r="F43" i="1"/>
  <c r="D36" i="4" s="1" a="1"/>
  <c r="D36" i="4" s="1"/>
  <c r="F44" i="1"/>
  <c r="F45" i="1"/>
  <c r="D38" i="4" s="1" a="1"/>
  <c r="D38" i="4" s="1"/>
  <c r="F46" i="1"/>
  <c r="F47" i="1"/>
  <c r="D40" i="4" s="1" a="1"/>
  <c r="D40" i="4" s="1"/>
  <c r="F48" i="1"/>
  <c r="F39" i="1"/>
  <c r="E40" i="1"/>
  <c r="C33" i="4" s="1" a="1"/>
  <c r="C33" i="4" s="1"/>
  <c r="E41" i="1"/>
  <c r="E42" i="1"/>
  <c r="E43" i="1"/>
  <c r="E44" i="1"/>
  <c r="C37" i="4" s="1" a="1"/>
  <c r="C37" i="4" s="1"/>
  <c r="E45" i="1"/>
  <c r="E46" i="1"/>
  <c r="E47" i="1"/>
  <c r="C40" i="4" s="1" a="1"/>
  <c r="C40" i="4" s="1"/>
  <c r="E48" i="1"/>
  <c r="C41" i="4" s="1" a="1"/>
  <c r="C41" i="4" s="1"/>
  <c r="E39" i="1"/>
  <c r="C32" i="4" s="1" a="1"/>
  <c r="C32" i="4" s="1"/>
  <c r="F18" i="1"/>
  <c r="F19" i="1"/>
  <c r="F20" i="1"/>
  <c r="F21" i="1"/>
  <c r="D16" i="4" s="1" a="1"/>
  <c r="D16" i="4" s="1"/>
  <c r="F22" i="1"/>
  <c r="F23" i="1"/>
  <c r="D18" i="4" s="1" a="1"/>
  <c r="D18" i="4" s="1"/>
  <c r="F24" i="1"/>
  <c r="F25" i="1"/>
  <c r="F26" i="1"/>
  <c r="F17" i="1"/>
  <c r="E18" i="1"/>
  <c r="C13" i="4" s="1" a="1"/>
  <c r="C13" i="4" s="1"/>
  <c r="E19" i="1"/>
  <c r="E20" i="1"/>
  <c r="C15" i="4" s="1" a="1"/>
  <c r="C15" i="4" s="1"/>
  <c r="E21" i="1"/>
  <c r="C16" i="4" s="1" a="1"/>
  <c r="C16" i="4" s="1"/>
  <c r="E22" i="1"/>
  <c r="C17" i="4" s="1" a="1"/>
  <c r="C17" i="4" s="1"/>
  <c r="E23" i="1"/>
  <c r="E24" i="1"/>
  <c r="E25" i="1"/>
  <c r="C20" i="4" s="1" a="1"/>
  <c r="C20" i="4" s="1"/>
  <c r="E26" i="1"/>
  <c r="E17" i="1"/>
  <c r="F8" i="1"/>
  <c r="D4" i="4" s="1" a="1"/>
  <c r="D4" i="4" s="1"/>
  <c r="F9" i="1"/>
  <c r="D5" i="4" s="1" a="1"/>
  <c r="D5" i="4" s="1"/>
  <c r="F10" i="1"/>
  <c r="D6" i="4" s="1" a="1"/>
  <c r="D6" i="4" s="1"/>
  <c r="F11" i="1"/>
  <c r="F12" i="1"/>
  <c r="F13" i="1"/>
  <c r="F14" i="1"/>
  <c r="D10" i="4" s="1" a="1"/>
  <c r="D10" i="4" s="1"/>
  <c r="F15" i="1"/>
  <c r="D11" i="4" s="1" a="1"/>
  <c r="D11" i="4" s="1"/>
  <c r="F7" i="1"/>
  <c r="F6" i="1"/>
  <c r="D2" i="4" s="1" a="1"/>
  <c r="D2" i="4" s="1"/>
  <c r="E7" i="1"/>
  <c r="E8" i="1"/>
  <c r="C4" i="4" s="1" a="1"/>
  <c r="C4" i="4" s="1"/>
  <c r="E9" i="1"/>
  <c r="E10" i="1"/>
  <c r="C6" i="4" s="1" a="1"/>
  <c r="C6" i="4" s="1"/>
  <c r="E11" i="1"/>
  <c r="E12" i="1"/>
  <c r="C8" i="4" s="1" a="1"/>
  <c r="C8" i="4" s="1"/>
  <c r="E13" i="1"/>
  <c r="E14" i="1"/>
  <c r="C10" i="4" s="1" a="1"/>
  <c r="C10" i="4" s="1"/>
  <c r="E15" i="1"/>
  <c r="C11" i="4" s="1" a="1"/>
  <c r="C11" i="4" s="1"/>
  <c r="E6" i="1"/>
  <c r="C2" i="4" s="1" a="1"/>
  <c r="C2" i="4" s="1"/>
  <c r="D300" i="4" a="1"/>
  <c r="D300" i="4" s="1"/>
  <c r="D299" i="4" a="1"/>
  <c r="D299" i="4" s="1"/>
  <c r="D298" i="4" a="1"/>
  <c r="D298" i="4" s="1"/>
  <c r="D297" i="4" a="1"/>
  <c r="D297" i="4" s="1"/>
  <c r="D296" i="4" a="1"/>
  <c r="D296" i="4" s="1"/>
  <c r="D295" i="4" a="1"/>
  <c r="D295" i="4" s="1"/>
  <c r="D294" i="4" a="1"/>
  <c r="D294" i="4" s="1"/>
  <c r="D293" i="4" a="1"/>
  <c r="D293" i="4" s="1"/>
  <c r="D292" i="4" a="1"/>
  <c r="D292" i="4" s="1"/>
  <c r="D101" i="4" a="1"/>
  <c r="D101" i="4" s="1"/>
  <c r="D99" i="4" a="1"/>
  <c r="D99" i="4" s="1"/>
  <c r="D97" i="4" a="1"/>
  <c r="D97" i="4" s="1"/>
  <c r="D96" i="4" a="1"/>
  <c r="D96" i="4" s="1"/>
  <c r="D95" i="4" a="1"/>
  <c r="D95" i="4" s="1"/>
  <c r="D93" i="4" a="1"/>
  <c r="D93" i="4" s="1"/>
  <c r="D92" i="4" a="1"/>
  <c r="D92" i="4" s="1"/>
  <c r="D81" i="4" a="1"/>
  <c r="D81" i="4" s="1"/>
  <c r="D80" i="4" a="1"/>
  <c r="D80" i="4" s="1"/>
  <c r="D78" i="4" a="1"/>
  <c r="D78" i="4" s="1"/>
  <c r="D74" i="4" a="1"/>
  <c r="D74" i="4" s="1"/>
  <c r="D73" i="4" a="1"/>
  <c r="D73" i="4" s="1"/>
  <c r="D69" i="4" a="1"/>
  <c r="D69" i="4" s="1"/>
  <c r="D67" i="4" a="1"/>
  <c r="D67" i="4" s="1"/>
  <c r="D65" i="4" a="1"/>
  <c r="D65" i="4" s="1"/>
  <c r="D64" i="4" a="1"/>
  <c r="D64" i="4" s="1"/>
  <c r="D62" i="4" a="1"/>
  <c r="D62" i="4" s="1"/>
  <c r="D61" i="4" a="1"/>
  <c r="D61" i="4" s="1"/>
  <c r="D60" i="4" a="1"/>
  <c r="D60" i="4" s="1"/>
  <c r="D59" i="4" a="1"/>
  <c r="D59" i="4" s="1"/>
  <c r="D57" i="4" a="1"/>
  <c r="D57" i="4" s="1"/>
  <c r="D55" i="4" a="1"/>
  <c r="D55" i="4" s="1"/>
  <c r="D53" i="4" a="1"/>
  <c r="D53" i="4" s="1"/>
  <c r="D52" i="4" a="1"/>
  <c r="D52" i="4" s="1"/>
  <c r="D51" i="4" a="1"/>
  <c r="D51" i="4" s="1"/>
  <c r="D47" i="4" a="1"/>
  <c r="D47" i="4" s="1"/>
  <c r="D45" i="4" a="1"/>
  <c r="D45" i="4" s="1"/>
  <c r="D44" i="4" a="1"/>
  <c r="D44" i="4" s="1"/>
  <c r="D41" i="4" a="1"/>
  <c r="D41" i="4" s="1"/>
  <c r="D39" i="4" a="1"/>
  <c r="D39" i="4" s="1"/>
  <c r="D37" i="4" a="1"/>
  <c r="D37" i="4" s="1"/>
  <c r="D35" i="4" a="1"/>
  <c r="D35" i="4" s="1"/>
  <c r="D33" i="4" a="1"/>
  <c r="D33" i="4" s="1"/>
  <c r="D32" i="4" a="1"/>
  <c r="D32" i="4" s="1"/>
  <c r="D31" i="4" a="1"/>
  <c r="D31" i="4" s="1"/>
  <c r="D30" i="4" a="1"/>
  <c r="D30" i="4" s="1"/>
  <c r="D28" i="4" a="1"/>
  <c r="D28" i="4" s="1"/>
  <c r="D24" i="4" a="1"/>
  <c r="D24" i="4" s="1"/>
  <c r="D23" i="4" a="1"/>
  <c r="D23" i="4" s="1"/>
  <c r="D21" i="4" a="1"/>
  <c r="D21" i="4" s="1"/>
  <c r="D20" i="4" a="1"/>
  <c r="D20" i="4" s="1"/>
  <c r="D19" i="4" a="1"/>
  <c r="D19" i="4" s="1"/>
  <c r="D17" i="4" a="1"/>
  <c r="D17" i="4" s="1"/>
  <c r="D15" i="4" a="1"/>
  <c r="D15" i="4" s="1"/>
  <c r="D14" i="4" a="1"/>
  <c r="D14" i="4" s="1"/>
  <c r="D13" i="4" a="1"/>
  <c r="D13" i="4" s="1"/>
  <c r="D12" i="4" a="1"/>
  <c r="D12" i="4" s="1"/>
  <c r="D9" i="4" a="1"/>
  <c r="D9" i="4" s="1"/>
  <c r="D8" i="4" a="1"/>
  <c r="D8" i="4" s="1"/>
  <c r="D7" i="4" a="1"/>
  <c r="D7" i="4" s="1"/>
  <c r="D3" i="4" a="1"/>
  <c r="D3" i="4" s="1"/>
  <c r="C301" i="4" a="1"/>
  <c r="C301" i="4" s="1"/>
  <c r="C300" i="4" a="1"/>
  <c r="C300" i="4" s="1"/>
  <c r="C299" i="4" a="1"/>
  <c r="C299" i="4" s="1"/>
  <c r="C298" i="4" a="1"/>
  <c r="C298" i="4" s="1"/>
  <c r="C297" i="4" a="1"/>
  <c r="C297" i="4" s="1"/>
  <c r="C296" i="4" a="1"/>
  <c r="C296" i="4" s="1"/>
  <c r="C295" i="4" a="1"/>
  <c r="C295" i="4" s="1"/>
  <c r="C294" i="4" a="1"/>
  <c r="C294" i="4" s="1"/>
  <c r="C293" i="4" a="1"/>
  <c r="C293" i="4" s="1"/>
  <c r="C292" i="4" a="1"/>
  <c r="C292" i="4" s="1"/>
  <c r="C101" i="4" a="1"/>
  <c r="C101" i="4" s="1"/>
  <c r="C99" i="4" a="1"/>
  <c r="C99" i="4" s="1"/>
  <c r="C95" i="4" a="1"/>
  <c r="C95" i="4" s="1"/>
  <c r="C92" i="4" a="1"/>
  <c r="C92" i="4" s="1"/>
  <c r="C89" i="4" a="1"/>
  <c r="C89" i="4" s="1"/>
  <c r="C88" i="4" a="1"/>
  <c r="C88" i="4" s="1"/>
  <c r="C83" i="4" a="1"/>
  <c r="C83" i="4" s="1"/>
  <c r="C80" i="4" a="1"/>
  <c r="C80" i="4" s="1"/>
  <c r="C79" i="4" a="1"/>
  <c r="C79" i="4" s="1"/>
  <c r="C78" i="4" a="1"/>
  <c r="C78" i="4" s="1"/>
  <c r="C76" i="4" a="1"/>
  <c r="C76" i="4" s="1"/>
  <c r="C74" i="4" a="1"/>
  <c r="C74" i="4" s="1"/>
  <c r="C73" i="4" a="1"/>
  <c r="C73" i="4" s="1"/>
  <c r="C71" i="4" a="1"/>
  <c r="C71" i="4" s="1"/>
  <c r="C69" i="4" a="1"/>
  <c r="C69" i="4" s="1"/>
  <c r="C66" i="4" a="1"/>
  <c r="C66" i="4" s="1"/>
  <c r="C65" i="4" a="1"/>
  <c r="C65" i="4" s="1"/>
  <c r="C64" i="4" a="1"/>
  <c r="C64" i="4" s="1"/>
  <c r="C63" i="4" a="1"/>
  <c r="C63" i="4" s="1"/>
  <c r="C61" i="4" a="1"/>
  <c r="C61" i="4" s="1"/>
  <c r="C59" i="4" a="1"/>
  <c r="C59" i="4" s="1"/>
  <c r="C58" i="4" a="1"/>
  <c r="C58" i="4" s="1"/>
  <c r="C55" i="4" a="1"/>
  <c r="C55" i="4" s="1"/>
  <c r="C50" i="4" a="1"/>
  <c r="C50" i="4" s="1"/>
  <c r="C49" i="4" a="1"/>
  <c r="C49" i="4" s="1"/>
  <c r="C48" i="4" a="1"/>
  <c r="C48" i="4" s="1"/>
  <c r="C47" i="4" a="1"/>
  <c r="C47" i="4" s="1"/>
  <c r="C45" i="4" a="1"/>
  <c r="C45" i="4" s="1"/>
  <c r="C44" i="4" a="1"/>
  <c r="C44" i="4" s="1"/>
  <c r="C43" i="4" a="1"/>
  <c r="C43" i="4" s="1"/>
  <c r="C39" i="4" a="1"/>
  <c r="C39" i="4" s="1"/>
  <c r="C38" i="4" a="1"/>
  <c r="C38" i="4" s="1"/>
  <c r="C36" i="4" a="1"/>
  <c r="C36" i="4" s="1"/>
  <c r="C35" i="4" a="1"/>
  <c r="C35" i="4" s="1"/>
  <c r="C34" i="4" a="1"/>
  <c r="C34" i="4" s="1"/>
  <c r="C29" i="4" a="1"/>
  <c r="C29" i="4" s="1"/>
  <c r="C27" i="4" a="1"/>
  <c r="C27" i="4" s="1"/>
  <c r="C25" i="4" a="1"/>
  <c r="C25" i="4" s="1"/>
  <c r="C24" i="4" a="1"/>
  <c r="C24" i="4" s="1"/>
  <c r="C23" i="4" a="1"/>
  <c r="C23" i="4" s="1"/>
  <c r="C21" i="4" a="1"/>
  <c r="C21" i="4" s="1"/>
  <c r="C19" i="4" a="1"/>
  <c r="C19" i="4" s="1"/>
  <c r="C18" i="4" a="1"/>
  <c r="C18" i="4" s="1"/>
  <c r="C14" i="4" a="1"/>
  <c r="C14" i="4" s="1"/>
  <c r="C12" i="4" a="1"/>
  <c r="C12" i="4" s="1"/>
  <c r="C9" i="4" a="1"/>
  <c r="C9" i="4" s="1"/>
  <c r="C7" i="4" a="1"/>
  <c r="C7" i="4" s="1"/>
  <c r="C5" i="4" a="1"/>
  <c r="C5" i="4" s="1"/>
  <c r="C3" i="4" a="1"/>
  <c r="C3" i="4" s="1"/>
  <c r="A301" i="4" a="1"/>
  <c r="A301" i="4" s="1"/>
  <c r="A300" i="4" a="1"/>
  <c r="A300" i="4" s="1"/>
  <c r="A299" i="4" a="1"/>
  <c r="A299" i="4" s="1"/>
  <c r="A298" i="4" a="1"/>
  <c r="A298" i="4" s="1"/>
  <c r="A297" i="4" a="1"/>
  <c r="A297" i="4" s="1"/>
  <c r="A296" i="4" a="1"/>
  <c r="A296" i="4" s="1"/>
  <c r="A295" i="4" a="1"/>
  <c r="A295" i="4" s="1"/>
  <c r="A294" i="4" a="1"/>
  <c r="A294" i="4"/>
  <c r="A293" i="4" a="1"/>
  <c r="A293" i="4" s="1"/>
  <c r="A292" i="4" a="1"/>
  <c r="A292" i="4" s="1"/>
  <c r="A291" i="4" a="1"/>
  <c r="A291" i="4" s="1"/>
  <c r="A290" i="4" a="1"/>
  <c r="A290" i="4" s="1"/>
  <c r="A289" i="4" a="1"/>
  <c r="A289" i="4" s="1"/>
  <c r="A288" i="4" a="1"/>
  <c r="A288" i="4" s="1"/>
  <c r="A287" i="4" a="1"/>
  <c r="A287" i="4" s="1"/>
  <c r="A286" i="4" a="1"/>
  <c r="A286" i="4" s="1"/>
  <c r="A285" i="4" a="1"/>
  <c r="A285" i="4" s="1"/>
  <c r="A284" i="4" a="1"/>
  <c r="A284" i="4" s="1"/>
  <c r="A283" i="4" a="1"/>
  <c r="A283" i="4" s="1"/>
  <c r="A282" i="4" a="1"/>
  <c r="A282" i="4" s="1"/>
  <c r="A281" i="4" a="1"/>
  <c r="A281" i="4" s="1"/>
  <c r="A280" i="4" a="1"/>
  <c r="A280" i="4" s="1"/>
  <c r="A279" i="4" a="1"/>
  <c r="A279" i="4" s="1"/>
  <c r="A278" i="4" a="1"/>
  <c r="A278" i="4" s="1"/>
  <c r="A277" i="4" a="1"/>
  <c r="A277" i="4" s="1"/>
  <c r="A276" i="4" a="1"/>
  <c r="A276" i="4" s="1"/>
  <c r="A275" i="4" a="1"/>
  <c r="A275" i="4" s="1"/>
  <c r="A274" i="4" a="1"/>
  <c r="A274" i="4" s="1"/>
  <c r="A273" i="4" a="1"/>
  <c r="A273" i="4" s="1"/>
  <c r="A272" i="4" a="1"/>
  <c r="A272" i="4" s="1"/>
  <c r="A271" i="4" a="1"/>
  <c r="A271" i="4" s="1"/>
  <c r="A270" i="4" a="1"/>
  <c r="A270" i="4" s="1"/>
  <c r="A269" i="4" a="1"/>
  <c r="A269" i="4" s="1"/>
  <c r="A268" i="4" a="1"/>
  <c r="A268" i="4" s="1"/>
  <c r="A267" i="4" a="1"/>
  <c r="A267" i="4" s="1"/>
  <c r="A266" i="4" a="1"/>
  <c r="A266" i="4" s="1"/>
  <c r="A265" i="4" a="1"/>
  <c r="A265" i="4" s="1"/>
  <c r="A264" i="4" a="1"/>
  <c r="A264" i="4" s="1"/>
  <c r="A263" i="4" a="1"/>
  <c r="A263" i="4" s="1"/>
  <c r="A262" i="4" a="1"/>
  <c r="A262" i="4"/>
  <c r="A261" i="4" a="1"/>
  <c r="A261" i="4" s="1"/>
  <c r="A260" i="4" a="1"/>
  <c r="A260" i="4" s="1"/>
  <c r="A259" i="4" a="1"/>
  <c r="A259" i="4" s="1"/>
  <c r="A258" i="4" a="1"/>
  <c r="A258" i="4" s="1"/>
  <c r="A257" i="4" a="1"/>
  <c r="A257" i="4" s="1"/>
  <c r="A256" i="4" a="1"/>
  <c r="A256" i="4" s="1"/>
  <c r="A255" i="4" a="1"/>
  <c r="A255" i="4" s="1"/>
  <c r="A254" i="4" a="1"/>
  <c r="A254" i="4"/>
  <c r="A253" i="4" a="1"/>
  <c r="A253" i="4" s="1"/>
  <c r="A252" i="4" a="1"/>
  <c r="A252" i="4" s="1"/>
  <c r="A251" i="4" a="1"/>
  <c r="A251" i="4" s="1"/>
  <c r="A250" i="4" a="1"/>
  <c r="A250" i="4" s="1"/>
  <c r="A249" i="4" a="1"/>
  <c r="A249" i="4" s="1"/>
  <c r="A248" i="4" a="1"/>
  <c r="A248" i="4" s="1"/>
  <c r="A247" i="4" a="1"/>
  <c r="A247" i="4" s="1"/>
  <c r="A246" i="4" a="1"/>
  <c r="A246" i="4"/>
  <c r="A245" i="4" a="1"/>
  <c r="A245" i="4" s="1"/>
  <c r="A244" i="4" a="1"/>
  <c r="A244" i="4" s="1"/>
  <c r="A243" i="4" a="1"/>
  <c r="A243" i="4" s="1"/>
  <c r="A242" i="4" a="1"/>
  <c r="A242" i="4" s="1"/>
  <c r="A241" i="4" a="1"/>
  <c r="A241" i="4" s="1"/>
  <c r="A240" i="4" a="1"/>
  <c r="A240" i="4" s="1"/>
  <c r="A239" i="4" a="1"/>
  <c r="A239" i="4" s="1"/>
  <c r="A238" i="4" a="1"/>
  <c r="A238" i="4"/>
  <c r="A237" i="4" a="1"/>
  <c r="A237" i="4" s="1"/>
  <c r="A236" i="4" a="1"/>
  <c r="A236" i="4" s="1"/>
  <c r="A235" i="4" a="1"/>
  <c r="A235" i="4" s="1"/>
  <c r="A234" i="4" a="1"/>
  <c r="A234" i="4" s="1"/>
  <c r="A233" i="4" a="1"/>
  <c r="A233" i="4" s="1"/>
  <c r="A232" i="4" a="1"/>
  <c r="A232" i="4" s="1"/>
  <c r="A231" i="4" a="1"/>
  <c r="A231" i="4" s="1"/>
  <c r="A230" i="4" a="1"/>
  <c r="A230" i="4" s="1"/>
  <c r="A229" i="4" a="1"/>
  <c r="A229" i="4" s="1"/>
  <c r="A228" i="4" a="1"/>
  <c r="A228" i="4" s="1"/>
  <c r="A227" i="4" a="1"/>
  <c r="A227" i="4" s="1"/>
  <c r="A226" i="4" a="1"/>
  <c r="A226" i="4" s="1"/>
  <c r="A225" i="4" a="1"/>
  <c r="A225" i="4" s="1"/>
  <c r="A224" i="4" a="1"/>
  <c r="A224" i="4" s="1"/>
  <c r="A223" i="4" a="1"/>
  <c r="A223" i="4" s="1"/>
  <c r="A222" i="4" a="1"/>
  <c r="A222" i="4"/>
  <c r="A221" i="4" a="1"/>
  <c r="A221" i="4" s="1"/>
  <c r="A220" i="4" a="1"/>
  <c r="A220" i="4" s="1"/>
  <c r="A219" i="4" a="1"/>
  <c r="A219" i="4" s="1"/>
  <c r="A218" i="4" a="1"/>
  <c r="A218" i="4" s="1"/>
  <c r="A217" i="4" a="1"/>
  <c r="A217" i="4" s="1"/>
  <c r="A216" i="4" a="1"/>
  <c r="A216" i="4" s="1"/>
  <c r="A215" i="4" a="1"/>
  <c r="A215" i="4" s="1"/>
  <c r="A214" i="4" a="1"/>
  <c r="A214" i="4" s="1"/>
  <c r="A213" i="4" a="1"/>
  <c r="A213" i="4" s="1"/>
  <c r="A212" i="4" a="1"/>
  <c r="A212" i="4" s="1"/>
  <c r="A211" i="4" a="1"/>
  <c r="A211" i="4" s="1"/>
  <c r="A210" i="4" a="1"/>
  <c r="A210" i="4" s="1"/>
  <c r="A209" i="4" a="1"/>
  <c r="A209" i="4" s="1"/>
  <c r="A208" i="4" a="1"/>
  <c r="A208" i="4" s="1"/>
  <c r="A207" i="4" a="1"/>
  <c r="A207" i="4" s="1"/>
  <c r="A206" i="4" a="1"/>
  <c r="A206" i="4"/>
  <c r="A205" i="4" a="1"/>
  <c r="A205" i="4" s="1"/>
  <c r="A204" i="4" a="1"/>
  <c r="A204" i="4" s="1"/>
  <c r="A203" i="4" a="1"/>
  <c r="A203" i="4" s="1"/>
  <c r="A202" i="4" a="1"/>
  <c r="A202" i="4" s="1"/>
  <c r="A201" i="4" a="1"/>
  <c r="A201" i="4" s="1"/>
  <c r="A200" i="4" a="1"/>
  <c r="A200" i="4" s="1"/>
  <c r="A199" i="4" a="1"/>
  <c r="A199" i="4" s="1"/>
  <c r="A198" i="4" a="1"/>
  <c r="A198" i="4" s="1"/>
  <c r="A197" i="4" a="1"/>
  <c r="A197" i="4" s="1"/>
  <c r="A196" i="4" a="1"/>
  <c r="A196" i="4" s="1"/>
  <c r="A195" i="4" a="1"/>
  <c r="A195" i="4" s="1"/>
  <c r="A194" i="4" a="1"/>
  <c r="A194" i="4" s="1"/>
  <c r="A193" i="4" a="1"/>
  <c r="A193" i="4" s="1"/>
  <c r="A192" i="4" a="1"/>
  <c r="A192" i="4" s="1"/>
  <c r="A191" i="4" a="1"/>
  <c r="A191" i="4" s="1"/>
  <c r="A190" i="4" a="1"/>
  <c r="A190" i="4"/>
  <c r="A189" i="4" a="1"/>
  <c r="A189" i="4" s="1"/>
  <c r="A188" i="4" a="1"/>
  <c r="A188" i="4" s="1"/>
  <c r="A187" i="4" a="1"/>
  <c r="A187" i="4" s="1"/>
  <c r="A186" i="4" a="1"/>
  <c r="A186" i="4" s="1"/>
  <c r="A185" i="4" a="1"/>
  <c r="A185" i="4" s="1"/>
  <c r="A184" i="4" a="1"/>
  <c r="A184" i="4" s="1"/>
  <c r="A183" i="4" a="1"/>
  <c r="A183" i="4" s="1"/>
  <c r="A182" i="4" a="1"/>
  <c r="A182" i="4" s="1"/>
  <c r="A181" i="4" a="1"/>
  <c r="A181" i="4" s="1"/>
  <c r="A180" i="4" a="1"/>
  <c r="A180" i="4" s="1"/>
  <c r="A179" i="4" a="1"/>
  <c r="A179" i="4" s="1"/>
  <c r="A178" i="4" a="1"/>
  <c r="A178" i="4" s="1"/>
  <c r="A177" i="4" a="1"/>
  <c r="A177" i="4" s="1"/>
  <c r="A176" i="4" a="1"/>
  <c r="A176" i="4" s="1"/>
  <c r="A175" i="4" a="1"/>
  <c r="A175" i="4" s="1"/>
  <c r="A174" i="4" a="1"/>
  <c r="A174" i="4" s="1"/>
  <c r="A173" i="4" a="1"/>
  <c r="A173" i="4" s="1"/>
  <c r="A172" i="4" a="1"/>
  <c r="A172" i="4" s="1"/>
  <c r="A171" i="4" a="1"/>
  <c r="A171" i="4" s="1"/>
  <c r="A170" i="4" a="1"/>
  <c r="A170" i="4" s="1"/>
  <c r="A169" i="4" a="1"/>
  <c r="A169" i="4" s="1"/>
  <c r="A168" i="4" a="1"/>
  <c r="A168" i="4" s="1"/>
  <c r="A167" i="4" a="1"/>
  <c r="A167" i="4" s="1"/>
  <c r="A166" i="4" a="1"/>
  <c r="A166" i="4"/>
  <c r="A165" i="4" a="1"/>
  <c r="A165" i="4" s="1"/>
  <c r="A164" i="4" a="1"/>
  <c r="A164" i="4" s="1"/>
  <c r="A163" i="4" a="1"/>
  <c r="A163" i="4" s="1"/>
  <c r="A162" i="4" a="1"/>
  <c r="A162" i="4" s="1"/>
  <c r="A161" i="4" a="1"/>
  <c r="A161" i="4" s="1"/>
  <c r="A160" i="4" a="1"/>
  <c r="A160" i="4" s="1"/>
  <c r="A159" i="4" a="1"/>
  <c r="A159" i="4" s="1"/>
  <c r="A158" i="4" a="1"/>
  <c r="A158" i="4" s="1"/>
  <c r="A157" i="4" a="1"/>
  <c r="A157" i="4" s="1"/>
  <c r="A156" i="4" a="1"/>
  <c r="A156" i="4" s="1"/>
  <c r="A155" i="4" a="1"/>
  <c r="A155" i="4" s="1"/>
  <c r="A154" i="4" a="1"/>
  <c r="A154" i="4" s="1"/>
  <c r="A153" i="4" a="1"/>
  <c r="A153" i="4" s="1"/>
  <c r="A152" i="4" a="1"/>
  <c r="A152" i="4" s="1"/>
  <c r="A151" i="4" a="1"/>
  <c r="A151" i="4" s="1"/>
  <c r="A150" i="4" a="1"/>
  <c r="A150" i="4" s="1"/>
  <c r="A149" i="4" a="1"/>
  <c r="A149" i="4" s="1"/>
  <c r="A148" i="4" a="1"/>
  <c r="A148" i="4" s="1"/>
  <c r="A147" i="4" a="1"/>
  <c r="A147" i="4" s="1"/>
  <c r="A146" i="4" a="1"/>
  <c r="A146" i="4" s="1"/>
  <c r="A145" i="4" a="1"/>
  <c r="A145" i="4" s="1"/>
  <c r="A144" i="4" a="1"/>
  <c r="A144" i="4" s="1"/>
  <c r="A143" i="4" a="1"/>
  <c r="A143" i="4" s="1"/>
  <c r="A142" i="4" a="1"/>
  <c r="A142" i="4"/>
  <c r="A141" i="4" a="1"/>
  <c r="A141" i="4" s="1"/>
  <c r="A140" i="4" a="1"/>
  <c r="A140" i="4" s="1"/>
  <c r="A139" i="4" a="1"/>
  <c r="A139" i="4" s="1"/>
  <c r="A138" i="4" a="1"/>
  <c r="A138" i="4" s="1"/>
  <c r="A137" i="4" a="1"/>
  <c r="A137" i="4" s="1"/>
  <c r="A136" i="4" a="1"/>
  <c r="A136" i="4" s="1"/>
  <c r="A135" i="4" a="1"/>
  <c r="A135" i="4" s="1"/>
  <c r="A134" i="4" a="1"/>
  <c r="A134" i="4"/>
  <c r="A133" i="4" a="1"/>
  <c r="A133" i="4" s="1"/>
  <c r="A132" i="4" a="1"/>
  <c r="A132" i="4" s="1"/>
  <c r="A131" i="4" a="1"/>
  <c r="A131" i="4" s="1"/>
  <c r="A130" i="4" a="1"/>
  <c r="A130" i="4" s="1"/>
  <c r="A129" i="4" a="1"/>
  <c r="A129" i="4" s="1"/>
  <c r="A128" i="4" a="1"/>
  <c r="A128" i="4" s="1"/>
  <c r="A127" i="4" a="1"/>
  <c r="A127" i="4" s="1"/>
  <c r="A126" i="4" a="1"/>
  <c r="A126" i="4" s="1"/>
  <c r="A125" i="4" a="1"/>
  <c r="A125" i="4" s="1"/>
  <c r="A124" i="4" a="1"/>
  <c r="A124" i="4" s="1"/>
  <c r="A123" i="4" a="1"/>
  <c r="A123" i="4" s="1"/>
  <c r="A122" i="4" a="1"/>
  <c r="A122" i="4" s="1"/>
  <c r="A121" i="4" a="1"/>
  <c r="A121" i="4" s="1"/>
  <c r="A120" i="4" a="1"/>
  <c r="A120" i="4" s="1"/>
  <c r="A119" i="4" a="1"/>
  <c r="A119" i="4" s="1"/>
  <c r="A118" i="4" a="1"/>
  <c r="A118" i="4"/>
  <c r="A117" i="4" a="1"/>
  <c r="A117" i="4" s="1"/>
  <c r="A116" i="4" a="1"/>
  <c r="A116" i="4" s="1"/>
  <c r="A115" i="4" a="1"/>
  <c r="A115" i="4" s="1"/>
  <c r="A114" i="4" a="1"/>
  <c r="A114" i="4" s="1"/>
  <c r="A113" i="4" a="1"/>
  <c r="A113" i="4" s="1"/>
  <c r="A112" i="4" a="1"/>
  <c r="A112" i="4" s="1"/>
  <c r="A111" i="4" a="1"/>
  <c r="A111" i="4" s="1"/>
  <c r="A110" i="4" a="1"/>
  <c r="A110" i="4" s="1"/>
  <c r="A109" i="4" a="1"/>
  <c r="A109" i="4" s="1"/>
  <c r="A108" i="4" a="1"/>
  <c r="A108" i="4" s="1"/>
  <c r="A107" i="4" a="1"/>
  <c r="A107" i="4" s="1"/>
  <c r="A106" i="4" a="1"/>
  <c r="A106" i="4" s="1"/>
  <c r="A105" i="4" a="1"/>
  <c r="A105" i="4" s="1"/>
  <c r="A104" i="4" a="1"/>
  <c r="A104" i="4" s="1"/>
  <c r="A103" i="4" a="1"/>
  <c r="A103" i="4" s="1"/>
  <c r="A102" i="4" a="1"/>
  <c r="A102" i="4"/>
  <c r="A101" i="4" a="1"/>
  <c r="A101" i="4" s="1"/>
  <c r="A100" i="4" a="1"/>
  <c r="A100" i="4" s="1"/>
  <c r="A99" i="4" a="1"/>
  <c r="A99" i="4" s="1"/>
  <c r="A98" i="4" a="1"/>
  <c r="A98" i="4" s="1"/>
  <c r="A97" i="4" a="1"/>
  <c r="A97" i="4" s="1"/>
  <c r="A96" i="4" a="1"/>
  <c r="A96" i="4" s="1"/>
  <c r="A95" i="4" a="1"/>
  <c r="A95" i="4" s="1"/>
  <c r="A94" i="4" a="1"/>
  <c r="A94" i="4" s="1"/>
  <c r="A93" i="4" a="1"/>
  <c r="A93" i="4" s="1"/>
  <c r="A92" i="4" a="1"/>
  <c r="A92" i="4" s="1"/>
  <c r="A91" i="4" a="1"/>
  <c r="A91" i="4" s="1"/>
  <c r="A90" i="4" a="1"/>
  <c r="A90" i="4" s="1"/>
  <c r="A89" i="4" a="1"/>
  <c r="A89" i="4" s="1"/>
  <c r="A88" i="4" a="1"/>
  <c r="A88" i="4" s="1"/>
  <c r="A87" i="4" a="1"/>
  <c r="A87" i="4" s="1"/>
  <c r="A86" i="4" a="1"/>
  <c r="A86" i="4" s="1"/>
  <c r="A85" i="4" a="1"/>
  <c r="A85" i="4" s="1"/>
  <c r="A84" i="4" a="1"/>
  <c r="A84" i="4" s="1"/>
  <c r="A83" i="4" a="1"/>
  <c r="A83" i="4" s="1"/>
  <c r="A82" i="4" a="1"/>
  <c r="A82" i="4" s="1"/>
  <c r="A81" i="4" a="1"/>
  <c r="A81" i="4" s="1"/>
  <c r="A80" i="4" a="1"/>
  <c r="A80" i="4" s="1"/>
  <c r="A79" i="4" a="1"/>
  <c r="A79" i="4" s="1"/>
  <c r="A78" i="4" a="1"/>
  <c r="A78" i="4"/>
  <c r="A77" i="4" a="1"/>
  <c r="A77" i="4" s="1"/>
  <c r="A76" i="4" a="1"/>
  <c r="A76" i="4" s="1"/>
  <c r="A75" i="4" a="1"/>
  <c r="A75" i="4" s="1"/>
  <c r="A74" i="4" a="1"/>
  <c r="A74" i="4" s="1"/>
  <c r="A73" i="4" a="1"/>
  <c r="A73" i="4" s="1"/>
  <c r="A72" i="4" a="1"/>
  <c r="A72" i="4" s="1"/>
  <c r="A71" i="4" a="1"/>
  <c r="A71" i="4" s="1"/>
  <c r="A70" i="4" a="1"/>
  <c r="A70" i="4" s="1"/>
  <c r="A69" i="4" a="1"/>
  <c r="A69" i="4" s="1"/>
  <c r="A68" i="4" a="1"/>
  <c r="A68" i="4" s="1"/>
  <c r="A67" i="4" a="1"/>
  <c r="A67" i="4" s="1"/>
  <c r="A66" i="4" a="1"/>
  <c r="A66" i="4" s="1"/>
  <c r="A65" i="4" a="1"/>
  <c r="A65" i="4" s="1"/>
  <c r="A64" i="4" a="1"/>
  <c r="A64" i="4" s="1"/>
  <c r="A63" i="4" a="1"/>
  <c r="A63" i="4" s="1"/>
  <c r="A62" i="4" a="1"/>
  <c r="A62" i="4" s="1"/>
  <c r="A61" i="4" a="1"/>
  <c r="A61" i="4" s="1"/>
  <c r="A60" i="4" a="1"/>
  <c r="A60" i="4" s="1"/>
  <c r="A59" i="4" a="1"/>
  <c r="A59" i="4" s="1"/>
  <c r="A58" i="4" a="1"/>
  <c r="A58" i="4" s="1"/>
  <c r="A57" i="4" a="1"/>
  <c r="A57" i="4" s="1"/>
  <c r="A56" i="4" a="1"/>
  <c r="A56" i="4" s="1"/>
  <c r="A55" i="4" a="1"/>
  <c r="A55" i="4" s="1"/>
  <c r="A54" i="4" a="1"/>
  <c r="A54" i="4"/>
  <c r="A53" i="4" a="1"/>
  <c r="A53" i="4" s="1"/>
  <c r="A52" i="4" a="1"/>
  <c r="A52" i="4" s="1"/>
  <c r="A51" i="4" a="1"/>
  <c r="A51" i="4" s="1"/>
  <c r="A50" i="4" a="1"/>
  <c r="A50" i="4" s="1"/>
  <c r="A49" i="4" a="1"/>
  <c r="A49" i="4" s="1"/>
  <c r="A48" i="4" a="1"/>
  <c r="A48" i="4" s="1"/>
  <c r="A47" i="4" a="1"/>
  <c r="A47" i="4" s="1"/>
  <c r="A46" i="4" a="1"/>
  <c r="A46" i="4" s="1"/>
  <c r="A45" i="4" a="1"/>
  <c r="A45" i="4" s="1"/>
  <c r="A44" i="4" a="1"/>
  <c r="A44" i="4" s="1"/>
  <c r="A43" i="4" a="1"/>
  <c r="A43" i="4" s="1"/>
  <c r="A42" i="4" a="1"/>
  <c r="A42" i="4" s="1"/>
  <c r="A41" i="4" a="1"/>
  <c r="A41" i="4" s="1"/>
  <c r="A40" i="4" a="1"/>
  <c r="A40" i="4" s="1"/>
  <c r="A39" i="4" a="1"/>
  <c r="A39" i="4" s="1"/>
  <c r="A38" i="4" a="1"/>
  <c r="A38" i="4" s="1"/>
  <c r="A37" i="4" a="1"/>
  <c r="A37" i="4" s="1"/>
  <c r="A36" i="4" a="1"/>
  <c r="A36" i="4" s="1"/>
  <c r="A35" i="4" a="1"/>
  <c r="A35" i="4" s="1"/>
  <c r="A34" i="4" a="1"/>
  <c r="A34" i="4" s="1"/>
  <c r="A33" i="4" a="1"/>
  <c r="A33" i="4" s="1"/>
  <c r="A32" i="4" a="1"/>
  <c r="A32" i="4" s="1"/>
  <c r="A31" i="4" a="1"/>
  <c r="A31" i="4" s="1"/>
  <c r="A30" i="4" a="1"/>
  <c r="A30" i="4" s="1"/>
  <c r="A29" i="4" a="1"/>
  <c r="A29" i="4" s="1"/>
  <c r="A28" i="4" a="1"/>
  <c r="A28" i="4" s="1"/>
  <c r="A27" i="4" a="1"/>
  <c r="A27" i="4" s="1"/>
  <c r="A26" i="4" a="1"/>
  <c r="A26" i="4" s="1"/>
  <c r="A25" i="4" a="1"/>
  <c r="A25" i="4" s="1"/>
  <c r="A24" i="4" a="1"/>
  <c r="A24" i="4" s="1"/>
  <c r="A23" i="4" a="1"/>
  <c r="A23" i="4" s="1"/>
  <c r="A22" i="4" a="1"/>
  <c r="A22" i="4" s="1"/>
  <c r="A21" i="4" a="1"/>
  <c r="A21" i="4" s="1"/>
  <c r="A20" i="4" a="1"/>
  <c r="A20" i="4" s="1"/>
  <c r="A19" i="4" a="1"/>
  <c r="A19" i="4" s="1"/>
  <c r="A18" i="4" a="1"/>
  <c r="A18" i="4" s="1"/>
  <c r="A17" i="4" a="1"/>
  <c r="A17" i="4" s="1"/>
  <c r="A16" i="4" a="1"/>
  <c r="A16" i="4" s="1"/>
  <c r="A15" i="4" a="1"/>
  <c r="A15" i="4" s="1"/>
  <c r="A14" i="4" a="1"/>
  <c r="A14" i="4"/>
  <c r="A13" i="4" a="1"/>
  <c r="A13" i="4" s="1"/>
  <c r="A12" i="4" a="1"/>
  <c r="A12" i="4" s="1"/>
  <c r="A11" i="4" a="1"/>
  <c r="A11" i="4" s="1"/>
  <c r="A10" i="4" a="1"/>
  <c r="A10" i="4" s="1"/>
  <c r="A9" i="4" a="1"/>
  <c r="A9" i="4" s="1"/>
  <c r="A8" i="4" a="1"/>
  <c r="A8" i="4" s="1"/>
  <c r="A7" i="4" a="1"/>
  <c r="A7" i="4" s="1"/>
  <c r="A6" i="4" a="1"/>
  <c r="A6" i="4" s="1"/>
  <c r="A5" i="4" a="1"/>
  <c r="A5" i="4" s="1"/>
  <c r="A4" i="4" a="1"/>
  <c r="A4" i="4" s="1"/>
  <c r="A3" i="4" a="1"/>
  <c r="A3" i="4" s="1"/>
  <c r="A2" i="4" a="1"/>
  <c r="A2" i="4" s="1"/>
  <c r="D86" i="4" a="1"/>
  <c r="D86" i="4" s="1"/>
  <c r="D83" i="4" a="1"/>
  <c r="D83" i="4" s="1"/>
  <c r="D85" i="4" a="1"/>
  <c r="D85" i="4" s="1"/>
  <c r="D87" i="4" a="1"/>
  <c r="D87" i="4" s="1"/>
  <c r="D88" i="4" a="1"/>
  <c r="D88" i="4" s="1"/>
  <c r="D91" i="4" a="1"/>
  <c r="D91" i="4" s="1"/>
  <c r="D103" i="4" a="1"/>
  <c r="D103" i="4" s="1"/>
  <c r="D104" i="4" a="1"/>
  <c r="D104" i="4" s="1"/>
  <c r="D105" i="4" a="1"/>
  <c r="D105" i="4" s="1"/>
  <c r="D106" i="4" a="1"/>
  <c r="D106" i="4" s="1"/>
  <c r="D107" i="4" a="1"/>
  <c r="D107" i="4" s="1"/>
  <c r="D108" i="4" a="1"/>
  <c r="D108" i="4" s="1"/>
  <c r="D109" i="4" a="1"/>
  <c r="D109" i="4" s="1"/>
  <c r="D110" i="4" a="1"/>
  <c r="D110" i="4" s="1"/>
  <c r="D111" i="4" a="1"/>
  <c r="D111" i="4" s="1"/>
  <c r="D112" i="4" a="1"/>
  <c r="D112" i="4" s="1"/>
  <c r="D115" i="4" a="1"/>
  <c r="D115" i="4" s="1"/>
  <c r="D116" i="4" a="1"/>
  <c r="D116" i="4" s="1"/>
  <c r="D117" i="4" a="1"/>
  <c r="D117" i="4" s="1"/>
  <c r="D119" i="4" a="1"/>
  <c r="D119" i="4" s="1"/>
  <c r="D121" i="4" a="1"/>
  <c r="D121" i="4" s="1"/>
  <c r="D122" i="4" a="1"/>
  <c r="D122" i="4" s="1"/>
  <c r="D123" i="4" a="1"/>
  <c r="D123" i="4" s="1"/>
  <c r="D124" i="4" a="1"/>
  <c r="D124" i="4" s="1"/>
  <c r="D125" i="4" a="1"/>
  <c r="D125" i="4" s="1"/>
  <c r="D126" i="4" a="1"/>
  <c r="D126" i="4" s="1"/>
  <c r="D129" i="4" a="1"/>
  <c r="D129" i="4" s="1"/>
  <c r="D130" i="4" a="1"/>
  <c r="D130" i="4" s="1"/>
  <c r="D131" i="4" a="1"/>
  <c r="D131" i="4" s="1"/>
  <c r="D133" i="4" a="1"/>
  <c r="D133" i="4" s="1"/>
  <c r="D134" i="4" a="1"/>
  <c r="D134" i="4" s="1"/>
  <c r="D135" i="4" a="1"/>
  <c r="D135" i="4" s="1"/>
  <c r="D137" i="4" a="1"/>
  <c r="D137" i="4" s="1"/>
  <c r="D138" i="4" a="1"/>
  <c r="D138" i="4" s="1"/>
  <c r="D139" i="4" a="1"/>
  <c r="D139" i="4" s="1"/>
  <c r="D140" i="4" a="1"/>
  <c r="D140" i="4" s="1"/>
  <c r="D142" i="4" a="1"/>
  <c r="D142" i="4" s="1"/>
  <c r="D143" i="4" a="1"/>
  <c r="D143" i="4" s="1"/>
  <c r="D144" i="4" a="1"/>
  <c r="D144" i="4" s="1"/>
  <c r="D145" i="4" a="1"/>
  <c r="D145" i="4" s="1"/>
  <c r="D146" i="4" a="1"/>
  <c r="D146" i="4" s="1"/>
  <c r="D147" i="4" a="1"/>
  <c r="D147" i="4" s="1"/>
  <c r="D148" i="4" a="1"/>
  <c r="D148" i="4" s="1"/>
  <c r="D149" i="4" a="1"/>
  <c r="D149" i="4" s="1"/>
  <c r="D150" i="4" a="1"/>
  <c r="D150" i="4" s="1"/>
  <c r="D151" i="4" a="1"/>
  <c r="D151" i="4" s="1"/>
  <c r="D152" i="4" a="1"/>
  <c r="D152" i="4" s="1"/>
  <c r="D154" i="4" a="1"/>
  <c r="D154" i="4" s="1"/>
  <c r="D155" i="4" a="1"/>
  <c r="D155" i="4" s="1"/>
  <c r="D156" i="4" a="1"/>
  <c r="D156" i="4" s="1"/>
  <c r="D158" i="4" a="1"/>
  <c r="D158" i="4" s="1"/>
  <c r="D159" i="4" a="1"/>
  <c r="D159" i="4" s="1"/>
  <c r="D160" i="4" a="1"/>
  <c r="D160" i="4" s="1"/>
  <c r="D161" i="4" a="1"/>
  <c r="D161" i="4" s="1"/>
  <c r="F182" i="1"/>
  <c r="D162" i="4" s="1" a="1"/>
  <c r="D162" i="4" s="1"/>
  <c r="F183" i="1"/>
  <c r="D163" i="4" s="1" a="1"/>
  <c r="D163" i="4" s="1"/>
  <c r="F184" i="1"/>
  <c r="D164" i="4" s="1" a="1"/>
  <c r="D164" i="4" s="1"/>
  <c r="F185" i="1"/>
  <c r="D165" i="4" s="1" a="1"/>
  <c r="D165" i="4" s="1"/>
  <c r="F186" i="1"/>
  <c r="D166" i="4" s="1" a="1"/>
  <c r="D166" i="4" s="1"/>
  <c r="F187" i="1"/>
  <c r="D167" i="4" s="1" a="1"/>
  <c r="D167" i="4" s="1"/>
  <c r="F188" i="1"/>
  <c r="D168" i="4" s="1" a="1"/>
  <c r="D168" i="4" s="1"/>
  <c r="F189" i="1"/>
  <c r="D169" i="4" s="1" a="1"/>
  <c r="D169" i="4" s="1"/>
  <c r="F190" i="1"/>
  <c r="D170" i="4" s="1" a="1"/>
  <c r="D170" i="4" s="1"/>
  <c r="F191" i="1"/>
  <c r="D171" i="4" s="1" a="1"/>
  <c r="D171" i="4" s="1"/>
  <c r="F193" i="1"/>
  <c r="D172" i="4" s="1" a="1"/>
  <c r="D172" i="4" s="1"/>
  <c r="F194" i="1"/>
  <c r="D173" i="4" s="1" a="1"/>
  <c r="D173" i="4" s="1"/>
  <c r="F195" i="1"/>
  <c r="D174" i="4" s="1" a="1"/>
  <c r="D174" i="4" s="1"/>
  <c r="F196" i="1"/>
  <c r="D175" i="4" s="1" a="1"/>
  <c r="D175" i="4" s="1"/>
  <c r="F197" i="1"/>
  <c r="D176" i="4" s="1" a="1"/>
  <c r="D176" i="4" s="1"/>
  <c r="F198" i="1"/>
  <c r="D177" i="4" s="1" a="1"/>
  <c r="D177" i="4" s="1"/>
  <c r="F199" i="1"/>
  <c r="D178" i="4" s="1" a="1"/>
  <c r="D178" i="4" s="1"/>
  <c r="F200" i="1"/>
  <c r="D179" i="4" s="1" a="1"/>
  <c r="D179" i="4" s="1"/>
  <c r="F201" i="1"/>
  <c r="D180" i="4" s="1" a="1"/>
  <c r="D180" i="4" s="1"/>
  <c r="F202" i="1"/>
  <c r="D181" i="4" s="1" a="1"/>
  <c r="D181" i="4" s="1"/>
  <c r="F204" i="1"/>
  <c r="D182" i="4" s="1" a="1"/>
  <c r="D182" i="4" s="1"/>
  <c r="F205" i="1"/>
  <c r="D183" i="4" s="1" a="1"/>
  <c r="D183" i="4" s="1"/>
  <c r="F206" i="1"/>
  <c r="D184" i="4" s="1" a="1"/>
  <c r="D184" i="4" s="1"/>
  <c r="F207" i="1"/>
  <c r="D185" i="4" s="1" a="1"/>
  <c r="D185" i="4" s="1"/>
  <c r="F208" i="1"/>
  <c r="D186" i="4" s="1" a="1"/>
  <c r="D186" i="4" s="1"/>
  <c r="F209" i="1"/>
  <c r="D187" i="4" s="1" a="1"/>
  <c r="D187" i="4" s="1"/>
  <c r="F210" i="1"/>
  <c r="D188" i="4" s="1" a="1"/>
  <c r="D188" i="4" s="1"/>
  <c r="F211" i="1"/>
  <c r="D189" i="4" s="1" a="1"/>
  <c r="D189" i="4" s="1"/>
  <c r="F212" i="1"/>
  <c r="D190" i="4" s="1" a="1"/>
  <c r="D190" i="4" s="1"/>
  <c r="F213" i="1"/>
  <c r="D191" i="4" s="1" a="1"/>
  <c r="D191" i="4" s="1"/>
  <c r="F215" i="1"/>
  <c r="D192" i="4" s="1" a="1"/>
  <c r="D192" i="4" s="1"/>
  <c r="F216" i="1"/>
  <c r="D193" i="4" s="1" a="1"/>
  <c r="D193" i="4" s="1"/>
  <c r="F217" i="1"/>
  <c r="D194" i="4" s="1" a="1"/>
  <c r="D194" i="4" s="1"/>
  <c r="F218" i="1"/>
  <c r="D195" i="4" s="1" a="1"/>
  <c r="D195" i="4" s="1"/>
  <c r="F219" i="1"/>
  <c r="D196" i="4" s="1" a="1"/>
  <c r="D196" i="4" s="1"/>
  <c r="F220" i="1"/>
  <c r="D197" i="4" s="1" a="1"/>
  <c r="D197" i="4" s="1"/>
  <c r="F221" i="1"/>
  <c r="D198" i="4" s="1" a="1"/>
  <c r="D198" i="4" s="1"/>
  <c r="F222" i="1"/>
  <c r="D199" i="4" s="1" a="1"/>
  <c r="D199" i="4" s="1"/>
  <c r="F223" i="1"/>
  <c r="D200" i="4" s="1" a="1"/>
  <c r="D200" i="4" s="1"/>
  <c r="F224" i="1"/>
  <c r="D201" i="4" s="1" a="1"/>
  <c r="D201" i="4" s="1"/>
  <c r="D202" i="4" a="1"/>
  <c r="D202" i="4" s="1"/>
  <c r="D203" i="4" a="1"/>
  <c r="D203" i="4" s="1"/>
  <c r="D204" i="4" a="1"/>
  <c r="D204" i="4" s="1"/>
  <c r="D205" i="4" a="1"/>
  <c r="D205" i="4" s="1"/>
  <c r="D206" i="4" a="1"/>
  <c r="D206" i="4" s="1"/>
  <c r="D207" i="4" a="1"/>
  <c r="D207" i="4" s="1"/>
  <c r="D208" i="4" a="1"/>
  <c r="D208" i="4" s="1"/>
  <c r="D209" i="4" a="1"/>
  <c r="D209" i="4" s="1"/>
  <c r="D210" i="4" a="1"/>
  <c r="D210" i="4" s="1"/>
  <c r="D211" i="4" a="1"/>
  <c r="D211" i="4" s="1"/>
  <c r="F237" i="1"/>
  <c r="D212" i="4" s="1" a="1"/>
  <c r="D212" i="4" s="1"/>
  <c r="F238" i="1"/>
  <c r="D213" i="4" s="1" a="1"/>
  <c r="D213" i="4" s="1"/>
  <c r="F239" i="1"/>
  <c r="D214" i="4" s="1" a="1"/>
  <c r="D214" i="4" s="1"/>
  <c r="F240" i="1"/>
  <c r="D215" i="4" s="1" a="1"/>
  <c r="D215" i="4" s="1"/>
  <c r="F241" i="1"/>
  <c r="D216" i="4" s="1" a="1"/>
  <c r="D216" i="4" s="1"/>
  <c r="F242" i="1"/>
  <c r="D217" i="4" s="1" a="1"/>
  <c r="D217" i="4" s="1"/>
  <c r="F243" i="1"/>
  <c r="D218" i="4" s="1" a="1"/>
  <c r="D218" i="4" s="1"/>
  <c r="F244" i="1"/>
  <c r="D219" i="4" s="1" a="1"/>
  <c r="D219" i="4" s="1"/>
  <c r="F245" i="1"/>
  <c r="D220" i="4" s="1" a="1"/>
  <c r="D220" i="4" s="1"/>
  <c r="F246" i="1"/>
  <c r="D221" i="4" s="1" a="1"/>
  <c r="D221" i="4" s="1"/>
  <c r="D222" i="4" a="1"/>
  <c r="D222" i="4" s="1"/>
  <c r="D223" i="4" a="1"/>
  <c r="D223" i="4" s="1"/>
  <c r="D224" i="4" a="1"/>
  <c r="D224" i="4" s="1"/>
  <c r="D225" i="4" a="1"/>
  <c r="D225" i="4" s="1"/>
  <c r="D226" i="4" a="1"/>
  <c r="D226" i="4" s="1"/>
  <c r="D227" i="4" a="1"/>
  <c r="D227" i="4" s="1"/>
  <c r="D228" i="4" a="1"/>
  <c r="D228" i="4" s="1"/>
  <c r="D229" i="4" a="1"/>
  <c r="D229" i="4" s="1"/>
  <c r="D230" i="4" a="1"/>
  <c r="D230" i="4" s="1"/>
  <c r="D231" i="4" a="1"/>
  <c r="D231" i="4" s="1"/>
  <c r="F259" i="1"/>
  <c r="D232" i="4" s="1" a="1"/>
  <c r="D232" i="4" s="1"/>
  <c r="F260" i="1"/>
  <c r="D233" i="4" s="1" a="1"/>
  <c r="D233" i="4" s="1"/>
  <c r="F261" i="1"/>
  <c r="D234" i="4" s="1" a="1"/>
  <c r="D234" i="4" s="1"/>
  <c r="F262" i="1"/>
  <c r="D235" i="4" s="1" a="1"/>
  <c r="D235" i="4" s="1"/>
  <c r="F263" i="1"/>
  <c r="D236" i="4" s="1" a="1"/>
  <c r="D236" i="4" s="1"/>
  <c r="F264" i="1"/>
  <c r="D237" i="4" s="1" a="1"/>
  <c r="D237" i="4" s="1"/>
  <c r="F265" i="1"/>
  <c r="D238" i="4" s="1" a="1"/>
  <c r="D238" i="4" s="1"/>
  <c r="F266" i="1"/>
  <c r="D239" i="4" s="1" a="1"/>
  <c r="D239" i="4" s="1"/>
  <c r="F267" i="1"/>
  <c r="D240" i="4" s="1" a="1"/>
  <c r="D240" i="4" s="1"/>
  <c r="F268" i="1"/>
  <c r="D241" i="4" s="1" a="1"/>
  <c r="D241" i="4" s="1"/>
  <c r="F270" i="1"/>
  <c r="D242" i="4" s="1" a="1"/>
  <c r="D242" i="4" s="1"/>
  <c r="F271" i="1"/>
  <c r="D243" i="4" s="1" a="1"/>
  <c r="D243" i="4" s="1"/>
  <c r="F272" i="1"/>
  <c r="D244" i="4" s="1" a="1"/>
  <c r="D244" i="4" s="1"/>
  <c r="F273" i="1"/>
  <c r="D245" i="4" s="1" a="1"/>
  <c r="D245" i="4" s="1"/>
  <c r="F274" i="1"/>
  <c r="D246" i="4" s="1" a="1"/>
  <c r="D246" i="4" s="1"/>
  <c r="F275" i="1"/>
  <c r="D247" i="4" s="1" a="1"/>
  <c r="D247" i="4" s="1"/>
  <c r="F276" i="1"/>
  <c r="D248" i="4" s="1" a="1"/>
  <c r="D248" i="4" s="1"/>
  <c r="F277" i="1"/>
  <c r="D249" i="4" s="1" a="1"/>
  <c r="D249" i="4" s="1"/>
  <c r="F278" i="1"/>
  <c r="D250" i="4" s="1" a="1"/>
  <c r="D250" i="4" s="1"/>
  <c r="F279" i="1"/>
  <c r="D251" i="4" s="1" a="1"/>
  <c r="D251" i="4" s="1"/>
  <c r="F281" i="1"/>
  <c r="D252" i="4" s="1" a="1"/>
  <c r="D252" i="4" s="1"/>
  <c r="F282" i="1"/>
  <c r="D253" i="4" s="1" a="1"/>
  <c r="D253" i="4" s="1"/>
  <c r="F283" i="1"/>
  <c r="D254" i="4" s="1" a="1"/>
  <c r="D254" i="4" s="1"/>
  <c r="F284" i="1"/>
  <c r="D255" i="4" s="1" a="1"/>
  <c r="D255" i="4" s="1"/>
  <c r="F285" i="1"/>
  <c r="D256" i="4" s="1" a="1"/>
  <c r="D256" i="4" s="1"/>
  <c r="F286" i="1"/>
  <c r="D257" i="4" s="1" a="1"/>
  <c r="D257" i="4" s="1"/>
  <c r="F287" i="1"/>
  <c r="D258" i="4" s="1" a="1"/>
  <c r="D258" i="4" s="1"/>
  <c r="F288" i="1"/>
  <c r="D259" i="4" s="1" a="1"/>
  <c r="D259" i="4" s="1"/>
  <c r="F289" i="1"/>
  <c r="D260" i="4" s="1" a="1"/>
  <c r="D260" i="4" s="1"/>
  <c r="F290" i="1"/>
  <c r="D261" i="4" s="1" a="1"/>
  <c r="D261" i="4" s="1"/>
  <c r="F292" i="1"/>
  <c r="D262" i="4" s="1" a="1"/>
  <c r="D262" i="4" s="1"/>
  <c r="F293" i="1"/>
  <c r="D263" i="4" s="1" a="1"/>
  <c r="D263" i="4" s="1"/>
  <c r="F294" i="1"/>
  <c r="D264" i="4" s="1" a="1"/>
  <c r="D264" i="4" s="1"/>
  <c r="F295" i="1"/>
  <c r="D265" i="4" s="1" a="1"/>
  <c r="D265" i="4" s="1"/>
  <c r="F296" i="1"/>
  <c r="D266" i="4" s="1" a="1"/>
  <c r="D266" i="4" s="1"/>
  <c r="F297" i="1"/>
  <c r="D267" i="4" s="1" a="1"/>
  <c r="D267" i="4" s="1"/>
  <c r="F298" i="1"/>
  <c r="D268" i="4" s="1" a="1"/>
  <c r="D268" i="4" s="1"/>
  <c r="F299" i="1"/>
  <c r="D269" i="4" s="1" a="1"/>
  <c r="D269" i="4" s="1"/>
  <c r="F300" i="1"/>
  <c r="D270" i="4" s="1" a="1"/>
  <c r="D270" i="4" s="1"/>
  <c r="F301" i="1"/>
  <c r="D271" i="4" s="1" a="1"/>
  <c r="D271" i="4" s="1"/>
  <c r="F303" i="1"/>
  <c r="D272" i="4" s="1" a="1"/>
  <c r="D272" i="4" s="1"/>
  <c r="F304" i="1"/>
  <c r="D273" i="4" s="1" a="1"/>
  <c r="D273" i="4" s="1"/>
  <c r="F305" i="1"/>
  <c r="D274" i="4" s="1" a="1"/>
  <c r="D274" i="4" s="1"/>
  <c r="F306" i="1"/>
  <c r="D275" i="4" s="1" a="1"/>
  <c r="D275" i="4" s="1"/>
  <c r="F307" i="1"/>
  <c r="D276" i="4" s="1" a="1"/>
  <c r="D276" i="4" s="1"/>
  <c r="F308" i="1"/>
  <c r="D277" i="4" s="1" a="1"/>
  <c r="D277" i="4" s="1"/>
  <c r="F309" i="1"/>
  <c r="D278" i="4" s="1" a="1"/>
  <c r="D278" i="4" s="1"/>
  <c r="F310" i="1"/>
  <c r="D279" i="4" s="1" a="1"/>
  <c r="D279" i="4" s="1"/>
  <c r="F311" i="1"/>
  <c r="D280" i="4" s="1" a="1"/>
  <c r="D280" i="4" s="1"/>
  <c r="F312" i="1"/>
  <c r="D281" i="4" s="1" a="1"/>
  <c r="D281" i="4" s="1"/>
  <c r="F314" i="1"/>
  <c r="D282" i="4" s="1" a="1"/>
  <c r="D282" i="4" s="1"/>
  <c r="F315" i="1"/>
  <c r="D283" i="4" s="1" a="1"/>
  <c r="D283" i="4" s="1"/>
  <c r="F316" i="1"/>
  <c r="D284" i="4" s="1" a="1"/>
  <c r="D284" i="4" s="1"/>
  <c r="F317" i="1"/>
  <c r="D285" i="4" s="1" a="1"/>
  <c r="D285" i="4" s="1"/>
  <c r="F318" i="1"/>
  <c r="D286" i="4" s="1" a="1"/>
  <c r="D286" i="4" s="1"/>
  <c r="F319" i="1"/>
  <c r="D287" i="4" s="1" a="1"/>
  <c r="D287" i="4" s="1"/>
  <c r="F320" i="1"/>
  <c r="D288" i="4" s="1" a="1"/>
  <c r="D288" i="4" s="1"/>
  <c r="F321" i="1"/>
  <c r="D289" i="4" s="1" a="1"/>
  <c r="D289" i="4" s="1"/>
  <c r="F322" i="1"/>
  <c r="D290" i="4" s="1" a="1"/>
  <c r="D290" i="4" s="1"/>
  <c r="F323" i="1"/>
  <c r="D291" i="4" s="1" a="1"/>
  <c r="D291" i="4" s="1"/>
  <c r="D301" i="4" a="1"/>
  <c r="D301" i="4" s="1"/>
  <c r="C84" i="4" a="1"/>
  <c r="C84" i="4" s="1"/>
  <c r="C85" i="4" a="1"/>
  <c r="C85" i="4" s="1"/>
  <c r="C87" i="4" a="1"/>
  <c r="C87" i="4" s="1"/>
  <c r="C90" i="4" a="1"/>
  <c r="C90" i="4" s="1"/>
  <c r="C102" i="4" a="1"/>
  <c r="C102" i="4" s="1"/>
  <c r="C104" i="4" a="1"/>
  <c r="C104" i="4" s="1"/>
  <c r="C105" i="4" a="1"/>
  <c r="C105" i="4" s="1"/>
  <c r="C106" i="4" a="1"/>
  <c r="C106" i="4" s="1"/>
  <c r="C107" i="4" a="1"/>
  <c r="C107" i="4" s="1"/>
  <c r="C108" i="4" a="1"/>
  <c r="C108" i="4" s="1"/>
  <c r="C109" i="4" a="1"/>
  <c r="C109" i="4" s="1"/>
  <c r="C110" i="4" a="1"/>
  <c r="C110" i="4" s="1"/>
  <c r="C111" i="4" a="1"/>
  <c r="C111" i="4" s="1"/>
  <c r="C112" i="4" a="1"/>
  <c r="C112" i="4" s="1"/>
  <c r="C113" i="4" a="1"/>
  <c r="C113" i="4" s="1"/>
  <c r="C114" i="4" a="1"/>
  <c r="C114" i="4" s="1"/>
  <c r="C115" i="4" a="1"/>
  <c r="C115" i="4" s="1"/>
  <c r="C116" i="4" a="1"/>
  <c r="C116" i="4" s="1"/>
  <c r="C117" i="4" a="1"/>
  <c r="C117" i="4" s="1"/>
  <c r="C118" i="4" a="1"/>
  <c r="C118" i="4" s="1"/>
  <c r="C119" i="4" a="1"/>
  <c r="C119" i="4" s="1"/>
  <c r="C120" i="4" a="1"/>
  <c r="C120" i="4" s="1"/>
  <c r="C121" i="4" a="1"/>
  <c r="C121" i="4" s="1"/>
  <c r="C122" i="4" a="1"/>
  <c r="C122" i="4" s="1"/>
  <c r="C123" i="4" a="1"/>
  <c r="C123" i="4" s="1"/>
  <c r="C124" i="4" a="1"/>
  <c r="C124" i="4" s="1"/>
  <c r="C125" i="4" a="1"/>
  <c r="C125" i="4" s="1"/>
  <c r="C126" i="4" a="1"/>
  <c r="C126" i="4" s="1"/>
  <c r="C127" i="4" a="1"/>
  <c r="C127" i="4" s="1"/>
  <c r="C128" i="4" a="1"/>
  <c r="C128" i="4" s="1"/>
  <c r="C129" i="4" a="1"/>
  <c r="C129" i="4" s="1"/>
  <c r="C130" i="4" a="1"/>
  <c r="C130" i="4" s="1"/>
  <c r="C131" i="4" a="1"/>
  <c r="C131" i="4" s="1"/>
  <c r="C132" i="4" a="1"/>
  <c r="C132" i="4" s="1"/>
  <c r="C133" i="4" a="1"/>
  <c r="C133" i="4" s="1"/>
  <c r="C134" i="4" a="1"/>
  <c r="C134" i="4" s="1"/>
  <c r="C135" i="4" a="1"/>
  <c r="C135" i="4" s="1"/>
  <c r="C136" i="4" a="1"/>
  <c r="C136" i="4" s="1"/>
  <c r="C137" i="4" a="1"/>
  <c r="C137" i="4" s="1"/>
  <c r="C138" i="4" a="1"/>
  <c r="C138" i="4" s="1"/>
  <c r="C139" i="4" a="1"/>
  <c r="C139" i="4" s="1"/>
  <c r="C140" i="4" a="1"/>
  <c r="C140" i="4" s="1"/>
  <c r="C141" i="4" a="1"/>
  <c r="C141" i="4" s="1"/>
  <c r="C142" i="4" a="1"/>
  <c r="C142" i="4" s="1"/>
  <c r="C143" i="4" a="1"/>
  <c r="C143" i="4" s="1"/>
  <c r="C146" i="4" a="1"/>
  <c r="C146" i="4" s="1"/>
  <c r="C147" i="4" a="1"/>
  <c r="C147" i="4" s="1"/>
  <c r="C148" i="4" a="1"/>
  <c r="C148" i="4" s="1"/>
  <c r="C149" i="4" a="1"/>
  <c r="C149" i="4" s="1"/>
  <c r="C150" i="4" a="1"/>
  <c r="C150" i="4" s="1"/>
  <c r="C151" i="4" a="1"/>
  <c r="C151" i="4" s="1"/>
  <c r="C152" i="4" a="1"/>
  <c r="C152" i="4" s="1"/>
  <c r="C154" i="4" a="1"/>
  <c r="C154" i="4" s="1"/>
  <c r="C155" i="4" a="1"/>
  <c r="C155" i="4" s="1"/>
  <c r="C156" i="4" a="1"/>
  <c r="C156" i="4" s="1"/>
  <c r="C157" i="4" a="1"/>
  <c r="C157" i="4" s="1"/>
  <c r="C162" i="4" a="1"/>
  <c r="C162" i="4" s="1"/>
  <c r="C163" i="4" a="1"/>
  <c r="C163" i="4" s="1"/>
  <c r="C164" i="4" a="1"/>
  <c r="C164" i="4" s="1"/>
  <c r="C165" i="4" a="1"/>
  <c r="C165" i="4" s="1"/>
  <c r="C166" i="4" a="1"/>
  <c r="C166" i="4" s="1"/>
  <c r="C167" i="4" a="1"/>
  <c r="C167" i="4" s="1"/>
  <c r="C168" i="4" a="1"/>
  <c r="C168" i="4" s="1"/>
  <c r="C169" i="4" a="1"/>
  <c r="C169" i="4" s="1"/>
  <c r="C170" i="4" a="1"/>
  <c r="C170" i="4" s="1"/>
  <c r="C172" i="4" a="1"/>
  <c r="C172" i="4" s="1"/>
  <c r="C173" i="4" a="1"/>
  <c r="C173" i="4" s="1"/>
  <c r="C174" i="4" a="1"/>
  <c r="C174" i="4" s="1"/>
  <c r="C175" i="4" a="1"/>
  <c r="C175" i="4" s="1"/>
  <c r="C177" i="4" a="1"/>
  <c r="C177" i="4" s="1"/>
  <c r="C178" i="4" a="1"/>
  <c r="C178" i="4" s="1"/>
  <c r="C179" i="4" a="1"/>
  <c r="C179" i="4" s="1"/>
  <c r="C180" i="4" a="1"/>
  <c r="C180" i="4" s="1"/>
  <c r="C181" i="4" a="1"/>
  <c r="C181" i="4" s="1"/>
  <c r="C182" i="4" a="1"/>
  <c r="C182" i="4" s="1"/>
  <c r="C184" i="4" a="1"/>
  <c r="C184" i="4" s="1"/>
  <c r="C185" i="4" a="1"/>
  <c r="C185" i="4" s="1"/>
  <c r="C186" i="4" a="1"/>
  <c r="C186" i="4" s="1"/>
  <c r="C187" i="4" a="1"/>
  <c r="C187" i="4" s="1"/>
  <c r="C188" i="4" a="1"/>
  <c r="C188" i="4" s="1"/>
  <c r="C189" i="4" a="1"/>
  <c r="C189" i="4" s="1"/>
  <c r="C190" i="4" a="1"/>
  <c r="C190" i="4" s="1"/>
  <c r="C191" i="4" a="1"/>
  <c r="C191" i="4" s="1"/>
  <c r="C192" i="4" a="1"/>
  <c r="C192" i="4" s="1"/>
  <c r="C193" i="4" a="1"/>
  <c r="C193" i="4" s="1"/>
  <c r="C194" i="4" a="1"/>
  <c r="C194" i="4" s="1"/>
  <c r="C195" i="4" a="1"/>
  <c r="C195" i="4" s="1"/>
  <c r="C196" i="4" a="1"/>
  <c r="C196" i="4" s="1"/>
  <c r="C197" i="4" a="1"/>
  <c r="C197" i="4" s="1"/>
  <c r="C198" i="4" a="1"/>
  <c r="C198" i="4" s="1"/>
  <c r="C200" i="4" a="1"/>
  <c r="C200" i="4" s="1"/>
  <c r="C201" i="4" a="1"/>
  <c r="C201" i="4" s="1"/>
  <c r="C202" i="4" a="1"/>
  <c r="C202" i="4" s="1"/>
  <c r="C203" i="4" a="1"/>
  <c r="C203" i="4" s="1"/>
  <c r="C204" i="4" a="1"/>
  <c r="C204" i="4" s="1"/>
  <c r="C205" i="4" a="1"/>
  <c r="C205" i="4" s="1"/>
  <c r="C206" i="4" a="1"/>
  <c r="C206" i="4" s="1"/>
  <c r="C207" i="4" a="1"/>
  <c r="C207" i="4" s="1"/>
  <c r="C208" i="4" a="1"/>
  <c r="C208" i="4" s="1"/>
  <c r="C209" i="4" a="1"/>
  <c r="C209" i="4" s="1"/>
  <c r="C210" i="4" a="1"/>
  <c r="C210" i="4" s="1"/>
  <c r="C211" i="4" a="1"/>
  <c r="C211" i="4" s="1"/>
  <c r="C212" i="4" a="1"/>
  <c r="C212" i="4" s="1"/>
  <c r="C215" i="4" a="1"/>
  <c r="C215" i="4" s="1"/>
  <c r="C216" i="4" a="1"/>
  <c r="C216" i="4" s="1"/>
  <c r="C217" i="4" a="1"/>
  <c r="C217" i="4" s="1"/>
  <c r="C218" i="4" a="1"/>
  <c r="C218" i="4" s="1"/>
  <c r="C219" i="4" a="1"/>
  <c r="C219" i="4" s="1"/>
  <c r="C222" i="4" a="1"/>
  <c r="C222" i="4" s="1"/>
  <c r="C223" i="4" a="1"/>
  <c r="C223" i="4" s="1"/>
  <c r="C224" i="4" a="1"/>
  <c r="C224" i="4" s="1"/>
  <c r="C225" i="4" a="1"/>
  <c r="C225" i="4" s="1"/>
  <c r="C226" i="4" a="1"/>
  <c r="C226" i="4" s="1"/>
  <c r="C227" i="4" a="1"/>
  <c r="C227" i="4" s="1"/>
  <c r="C228" i="4" a="1"/>
  <c r="C228" i="4" s="1"/>
  <c r="C229" i="4" a="1"/>
  <c r="C229" i="4" s="1"/>
  <c r="C230" i="4" a="1"/>
  <c r="C230" i="4" s="1"/>
  <c r="C231" i="4" a="1"/>
  <c r="C231" i="4" s="1"/>
  <c r="C232" i="4" a="1"/>
  <c r="C232" i="4" s="1"/>
  <c r="C233" i="4" a="1"/>
  <c r="C233" i="4" s="1"/>
  <c r="C234" i="4" a="1"/>
  <c r="C234" i="4" s="1"/>
  <c r="C235" i="4" a="1"/>
  <c r="C235" i="4" s="1"/>
  <c r="C237" i="4" a="1"/>
  <c r="C237" i="4" s="1"/>
  <c r="C239" i="4" a="1"/>
  <c r="C239" i="4" s="1"/>
  <c r="C240" i="4" a="1"/>
  <c r="C240" i="4" s="1"/>
  <c r="C242" i="4" a="1"/>
  <c r="C242" i="4" s="1"/>
  <c r="C243" i="4" a="1"/>
  <c r="C243" i="4" s="1"/>
  <c r="C244" i="4" a="1"/>
  <c r="C244" i="4" s="1"/>
  <c r="C245" i="4" a="1"/>
  <c r="C245" i="4" s="1"/>
  <c r="C246" i="4" a="1"/>
  <c r="C246" i="4" s="1"/>
  <c r="C248" i="4" a="1"/>
  <c r="C248" i="4" s="1"/>
  <c r="C249" i="4" a="1"/>
  <c r="C249" i="4" s="1"/>
  <c r="C250" i="4" a="1"/>
  <c r="C250" i="4" s="1"/>
  <c r="C251" i="4" a="1"/>
  <c r="C251" i="4" s="1"/>
  <c r="C252" i="4" a="1"/>
  <c r="C252" i="4" s="1"/>
  <c r="C254" i="4" a="1"/>
  <c r="C254" i="4" s="1"/>
  <c r="C255" i="4" a="1"/>
  <c r="C255" i="4" s="1"/>
  <c r="C256" i="4" a="1"/>
  <c r="C256" i="4" s="1"/>
  <c r="C257" i="4" a="1"/>
  <c r="C257" i="4" s="1"/>
  <c r="C258" i="4" a="1"/>
  <c r="C258" i="4" s="1"/>
  <c r="C259" i="4" a="1"/>
  <c r="C259" i="4" s="1"/>
  <c r="C260" i="4" a="1"/>
  <c r="C260" i="4" s="1"/>
  <c r="C261" i="4" a="1"/>
  <c r="C261" i="4" s="1"/>
  <c r="C262" i="4" a="1"/>
  <c r="C262" i="4" s="1"/>
  <c r="C263" i="4" a="1"/>
  <c r="C263" i="4" s="1"/>
  <c r="C264" i="4" a="1"/>
  <c r="C264" i="4" s="1"/>
  <c r="C265" i="4" a="1"/>
  <c r="C265" i="4" s="1"/>
  <c r="C266" i="4" a="1"/>
  <c r="C266" i="4" s="1"/>
  <c r="C267" i="4" a="1"/>
  <c r="C267" i="4" s="1"/>
  <c r="C268" i="4" a="1"/>
  <c r="C268" i="4" s="1"/>
  <c r="C269" i="4" a="1"/>
  <c r="C269" i="4" s="1"/>
  <c r="C270" i="4" a="1"/>
  <c r="C270" i="4" s="1"/>
  <c r="C271" i="4" a="1"/>
  <c r="C271" i="4" s="1"/>
  <c r="C273" i="4" a="1"/>
  <c r="C273" i="4" s="1"/>
  <c r="C275" i="4" a="1"/>
  <c r="C275" i="4" s="1"/>
  <c r="C276" i="4" a="1"/>
  <c r="C276" i="4" s="1"/>
  <c r="C282" i="4" a="1"/>
  <c r="C282" i="4" s="1"/>
  <c r="C283" i="4" a="1"/>
  <c r="C283" i="4" s="1"/>
  <c r="C284" i="4" a="1"/>
  <c r="C284" i="4" s="1"/>
  <c r="C285" i="4" a="1"/>
  <c r="C285" i="4" s="1"/>
  <c r="C286" i="4" a="1"/>
  <c r="C286" i="4" s="1"/>
  <c r="C287" i="4" a="1"/>
  <c r="C287" i="4" s="1"/>
  <c r="C288" i="4" a="1"/>
  <c r="C288" i="4" s="1"/>
  <c r="C289" i="4" a="1"/>
  <c r="C289" i="4" s="1"/>
  <c r="C290" i="4" a="1"/>
  <c r="C290" i="4" s="1"/>
  <c r="C291" i="4" a="1"/>
  <c r="C291" i="4" s="1"/>
  <c r="C9" i="3"/>
  <c r="D9" i="3" s="1"/>
  <c r="C34" i="3"/>
  <c r="D34" i="3" s="1"/>
  <c r="C33" i="3"/>
  <c r="D33" i="3" s="1"/>
  <c r="C32" i="3"/>
  <c r="D32" i="3" s="1"/>
  <c r="C31" i="3"/>
  <c r="D31" i="3" s="1"/>
  <c r="C30" i="3"/>
  <c r="D30" i="3" s="1"/>
  <c r="C29" i="3"/>
  <c r="D29" i="3" s="1"/>
  <c r="C28" i="3"/>
  <c r="D28" i="3" s="1"/>
  <c r="C27" i="3"/>
  <c r="D27" i="3" s="1"/>
  <c r="C26" i="3"/>
  <c r="D26" i="3" s="1"/>
  <c r="C25" i="3"/>
  <c r="D25" i="3" s="1"/>
  <c r="C24" i="3"/>
  <c r="D24" i="3" s="1"/>
  <c r="C23" i="3"/>
  <c r="D23" i="3" s="1"/>
  <c r="C22" i="3"/>
  <c r="D22" i="3" s="1"/>
  <c r="C21" i="3"/>
  <c r="D21" i="3" s="1"/>
  <c r="C20" i="3"/>
  <c r="D20" i="3" s="1"/>
  <c r="C19" i="3"/>
  <c r="D19" i="3" s="1"/>
  <c r="C18" i="3"/>
  <c r="D18" i="3" s="1"/>
  <c r="C17" i="3"/>
  <c r="D17" i="3" s="1"/>
  <c r="C16" i="3"/>
  <c r="D16" i="3" s="1"/>
  <c r="D15" i="3"/>
  <c r="C14" i="3"/>
  <c r="D14" i="3" s="1"/>
  <c r="C13" i="3"/>
  <c r="D13" i="3" s="1"/>
  <c r="C12" i="3"/>
  <c r="D12" i="3" s="1"/>
  <c r="C11" i="3"/>
  <c r="D11" i="3" s="1"/>
  <c r="C10" i="3"/>
  <c r="D10" i="3" s="1"/>
  <c r="C8" i="3"/>
  <c r="D8" i="3" s="1"/>
  <c r="C7" i="3"/>
  <c r="D7" i="3" s="1"/>
  <c r="C6" i="3"/>
  <c r="D6" i="3" s="1"/>
  <c r="C5" i="3"/>
  <c r="T2" i="4" l="1" a="1"/>
  <c r="T2" i="4" s="1"/>
  <c r="F2" i="4" a="1"/>
  <c r="C36" i="3"/>
  <c r="D36" i="3" s="1"/>
  <c r="D5" i="3"/>
  <c r="P11" i="4" l="1"/>
  <c r="AJ43" i="4" a="1"/>
  <c r="AJ43" i="4" s="1"/>
  <c r="AI43" i="4" a="1"/>
  <c r="AI43" i="4" s="1"/>
  <c r="AH43" i="4" a="1"/>
  <c r="AH43" i="4" s="1"/>
  <c r="AG43" i="4" a="1"/>
  <c r="AG43" i="4" s="1"/>
  <c r="AF43" i="4" a="1"/>
  <c r="AF43" i="4" s="1"/>
  <c r="AE43" i="4" a="1"/>
  <c r="AE43" i="4" s="1"/>
  <c r="AD43" i="4" a="1"/>
  <c r="AD43" i="4" s="1"/>
  <c r="AC43" i="4" a="1"/>
  <c r="AC43" i="4" s="1"/>
  <c r="AB43" i="4" a="1"/>
  <c r="AB43" i="4" s="1"/>
  <c r="AA43" i="4" a="1"/>
  <c r="AA43" i="4" s="1"/>
  <c r="Z43" i="4" a="1"/>
  <c r="Z43" i="4" s="1"/>
  <c r="Y43" i="4" a="1"/>
  <c r="Y43" i="4" s="1"/>
  <c r="X43" i="4" a="1"/>
  <c r="X43" i="4" s="1"/>
  <c r="W43" i="4" a="1"/>
  <c r="W43" i="4" s="1"/>
  <c r="V43" i="4" a="1"/>
  <c r="V43" i="4" s="1"/>
  <c r="U43" i="4" a="1"/>
  <c r="U43" i="4" s="1"/>
  <c r="T43" i="4" a="1"/>
  <c r="T43" i="4" s="1"/>
  <c r="S43" i="4" a="1"/>
  <c r="S43" i="4" s="1"/>
  <c r="R43" i="4" a="1"/>
  <c r="R43" i="4" s="1"/>
  <c r="Q43" i="4" a="1"/>
  <c r="Q43" i="4" s="1"/>
  <c r="P43" i="4" a="1"/>
  <c r="P43" i="4" s="1"/>
  <c r="O43" i="4" a="1"/>
  <c r="O43" i="4" s="1"/>
  <c r="N43" i="4" a="1"/>
  <c r="N43" i="4" s="1"/>
  <c r="M43" i="4" a="1"/>
  <c r="M43" i="4" s="1"/>
  <c r="L43" i="4" a="1"/>
  <c r="L43" i="4" s="1"/>
  <c r="K43" i="4" a="1"/>
  <c r="K43" i="4" s="1"/>
  <c r="J43" i="4" a="1"/>
  <c r="J43" i="4" s="1"/>
  <c r="I43" i="4" a="1"/>
  <c r="I43" i="4" s="1"/>
  <c r="H43" i="4" a="1"/>
  <c r="H43" i="4" s="1"/>
  <c r="AD31" i="4"/>
  <c r="AD30" i="4"/>
  <c r="AD29" i="4"/>
  <c r="AD28" i="4"/>
  <c r="AD27" i="4"/>
  <c r="AD26" i="4"/>
  <c r="AD25" i="4"/>
  <c r="AD24" i="4"/>
  <c r="AD23" i="4"/>
  <c r="AD22" i="4"/>
  <c r="AD21" i="4"/>
  <c r="AD20" i="4"/>
  <c r="AD19" i="4"/>
  <c r="AD18" i="4"/>
  <c r="AD17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AB31" i="4"/>
  <c r="AB30" i="4"/>
  <c r="AB29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3" i="4"/>
  <c r="AB12" i="4"/>
  <c r="AB11" i="4"/>
  <c r="AB10" i="4"/>
  <c r="AB9" i="4"/>
  <c r="AB8" i="4"/>
  <c r="AB7" i="4"/>
  <c r="AB6" i="4"/>
  <c r="AB5" i="4"/>
  <c r="AB4" i="4"/>
  <c r="AB3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AA3" i="4"/>
  <c r="Z31" i="4"/>
  <c r="Z30" i="4"/>
  <c r="Z29" i="4"/>
  <c r="Z28" i="4"/>
  <c r="Z27" i="4"/>
  <c r="Z26" i="4"/>
  <c r="Z25" i="4"/>
  <c r="Z24" i="4"/>
  <c r="Z23" i="4"/>
  <c r="Z22" i="4"/>
  <c r="Z21" i="4"/>
  <c r="Z20" i="4"/>
  <c r="Z19" i="4"/>
  <c r="Z18" i="4"/>
  <c r="Z17" i="4"/>
  <c r="Z16" i="4"/>
  <c r="Z15" i="4"/>
  <c r="Z14" i="4"/>
  <c r="Z13" i="4"/>
  <c r="Z12" i="4"/>
  <c r="Z11" i="4"/>
  <c r="Z10" i="4"/>
  <c r="Z9" i="4"/>
  <c r="Z8" i="4"/>
  <c r="Z7" i="4"/>
  <c r="Z6" i="4"/>
  <c r="Z5" i="4"/>
  <c r="Z4" i="4"/>
  <c r="Z3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X5" i="4"/>
  <c r="X4" i="4"/>
  <c r="X3" i="4"/>
  <c r="W31" i="4"/>
  <c r="W30" i="4"/>
  <c r="W29" i="4"/>
  <c r="W28" i="4"/>
  <c r="W27" i="4"/>
  <c r="W26" i="4"/>
  <c r="W25" i="4"/>
  <c r="W24" i="4"/>
  <c r="W23" i="4"/>
  <c r="W22" i="4"/>
  <c r="W21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W7" i="4"/>
  <c r="W6" i="4"/>
  <c r="W5" i="4"/>
  <c r="W4" i="4"/>
  <c r="W3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U3" i="4"/>
  <c r="Y3" i="4"/>
  <c r="AC3" i="4"/>
  <c r="U4" i="4"/>
  <c r="Y4" i="4"/>
  <c r="AC4" i="4"/>
  <c r="U5" i="4"/>
  <c r="Y5" i="4"/>
  <c r="AC5" i="4"/>
  <c r="U6" i="4"/>
  <c r="Y6" i="4"/>
  <c r="AC6" i="4"/>
  <c r="U7" i="4"/>
  <c r="Y7" i="4"/>
  <c r="AC7" i="4"/>
  <c r="U8" i="4"/>
  <c r="Y8" i="4"/>
  <c r="AC8" i="4"/>
  <c r="U9" i="4"/>
  <c r="Y9" i="4"/>
  <c r="AC9" i="4"/>
  <c r="U10" i="4"/>
  <c r="Y10" i="4"/>
  <c r="AC10" i="4"/>
  <c r="U11" i="4"/>
  <c r="Y11" i="4"/>
  <c r="AC11" i="4"/>
  <c r="U12" i="4"/>
  <c r="Y12" i="4"/>
  <c r="AC12" i="4"/>
  <c r="U13" i="4"/>
  <c r="Y13" i="4"/>
  <c r="AC13" i="4"/>
  <c r="U14" i="4"/>
  <c r="Y14" i="4"/>
  <c r="AC14" i="4"/>
  <c r="U15" i="4"/>
  <c r="Y15" i="4"/>
  <c r="AC15" i="4"/>
  <c r="U16" i="4"/>
  <c r="Y16" i="4"/>
  <c r="AC16" i="4"/>
  <c r="U17" i="4"/>
  <c r="Y17" i="4"/>
  <c r="AC17" i="4"/>
  <c r="U18" i="4"/>
  <c r="Y18" i="4"/>
  <c r="AC18" i="4"/>
  <c r="U19" i="4"/>
  <c r="Y19" i="4"/>
  <c r="AC19" i="4"/>
  <c r="U20" i="4"/>
  <c r="Y20" i="4"/>
  <c r="AC20" i="4"/>
  <c r="U21" i="4"/>
  <c r="Y21" i="4"/>
  <c r="AC21" i="4"/>
  <c r="U22" i="4"/>
  <c r="Y22" i="4"/>
  <c r="AC22" i="4"/>
  <c r="U23" i="4"/>
  <c r="Y23" i="4"/>
  <c r="AC23" i="4"/>
  <c r="U24" i="4"/>
  <c r="Y24" i="4"/>
  <c r="AC24" i="4"/>
  <c r="U25" i="4"/>
  <c r="Y25" i="4"/>
  <c r="AC25" i="4"/>
  <c r="U26" i="4"/>
  <c r="Y26" i="4"/>
  <c r="AC26" i="4"/>
  <c r="U27" i="4"/>
  <c r="Y27" i="4"/>
  <c r="AC27" i="4"/>
  <c r="U28" i="4"/>
  <c r="Y28" i="4"/>
  <c r="AC28" i="4"/>
  <c r="U29" i="4"/>
  <c r="Y29" i="4"/>
  <c r="AC29" i="4"/>
  <c r="U30" i="4"/>
  <c r="Y30" i="4"/>
  <c r="AC30" i="4"/>
  <c r="U31" i="4"/>
  <c r="Y31" i="4"/>
  <c r="AC31" i="4"/>
  <c r="O11" i="4"/>
  <c r="L19" i="4"/>
  <c r="P10" i="4"/>
  <c r="I24" i="4"/>
  <c r="M15" i="4"/>
  <c r="K16" i="4"/>
  <c r="J4" i="4"/>
  <c r="P8" i="4"/>
  <c r="G16" i="4"/>
  <c r="H25" i="4"/>
  <c r="I6" i="4"/>
  <c r="J3" i="4"/>
  <c r="M29" i="4"/>
  <c r="N10" i="4"/>
  <c r="O31" i="4"/>
  <c r="O15" i="4"/>
  <c r="H24" i="4"/>
  <c r="H8" i="4"/>
  <c r="I21" i="4"/>
  <c r="I5" i="4"/>
  <c r="J18" i="4"/>
  <c r="L31" i="4"/>
  <c r="L15" i="4"/>
  <c r="M28" i="4"/>
  <c r="M12" i="4"/>
  <c r="N25" i="4"/>
  <c r="N9" i="4"/>
  <c r="P22" i="4"/>
  <c r="P6" i="4"/>
  <c r="H12" i="4"/>
  <c r="L3" i="4"/>
  <c r="G22" i="4"/>
  <c r="I8" i="4"/>
  <c r="N28" i="4"/>
  <c r="H26" i="4"/>
  <c r="M30" i="4"/>
  <c r="K21" i="4"/>
  <c r="K5" i="4"/>
  <c r="I22" i="4"/>
  <c r="L16" i="4"/>
  <c r="N26" i="4"/>
  <c r="P7" i="4"/>
  <c r="G21" i="4"/>
  <c r="G5" i="4"/>
  <c r="G26" i="4"/>
  <c r="K15" i="4"/>
  <c r="O4" i="4"/>
  <c r="H7" i="4"/>
  <c r="I4" i="4"/>
  <c r="J17" i="4"/>
  <c r="L30" i="4"/>
  <c r="L14" i="4"/>
  <c r="M27" i="4"/>
  <c r="M11" i="4"/>
  <c r="N24" i="4"/>
  <c r="N8" i="4"/>
  <c r="P21" i="4"/>
  <c r="P5" i="4"/>
  <c r="K22" i="4"/>
  <c r="I25" i="4"/>
  <c r="M16" i="4"/>
  <c r="K11" i="4"/>
  <c r="J21" i="4"/>
  <c r="N12" i="4"/>
  <c r="O5" i="4"/>
  <c r="L17" i="4"/>
  <c r="P24" i="4"/>
  <c r="O26" i="4"/>
  <c r="O10" i="4"/>
  <c r="H9" i="4"/>
  <c r="J19" i="4"/>
  <c r="M13" i="4"/>
  <c r="P23" i="4"/>
  <c r="K26" i="4"/>
  <c r="K10" i="4"/>
  <c r="K31" i="4"/>
  <c r="O20" i="4"/>
  <c r="G10" i="4"/>
  <c r="H23" i="4"/>
  <c r="I20" i="4"/>
  <c r="G31" i="4"/>
  <c r="O25" i="4"/>
  <c r="K20" i="4"/>
  <c r="G15" i="4"/>
  <c r="O9" i="4"/>
  <c r="K4" i="4"/>
  <c r="H22" i="4"/>
  <c r="H6" i="4"/>
  <c r="I19" i="4"/>
  <c r="I3" i="4"/>
  <c r="J16" i="4"/>
  <c r="L29" i="4"/>
  <c r="L13" i="4"/>
  <c r="M26" i="4"/>
  <c r="M10" i="4"/>
  <c r="N23" i="4"/>
  <c r="N7" i="4"/>
  <c r="P20" i="4"/>
  <c r="P4" i="4"/>
  <c r="O27" i="4"/>
  <c r="K6" i="4"/>
  <c r="J22" i="4"/>
  <c r="N13" i="4"/>
  <c r="K27" i="4"/>
  <c r="H11" i="4"/>
  <c r="L18" i="4"/>
  <c r="P25" i="4"/>
  <c r="O21" i="4"/>
  <c r="I23" i="4"/>
  <c r="N27" i="4"/>
  <c r="G20" i="4"/>
  <c r="G4" i="4"/>
  <c r="H5" i="4"/>
  <c r="L28" i="4"/>
  <c r="M25" i="4"/>
  <c r="P3" i="4"/>
  <c r="K14" i="4"/>
  <c r="H4" i="4"/>
  <c r="J14" i="4"/>
  <c r="M8" i="4"/>
  <c r="K19" i="4"/>
  <c r="K3" i="4"/>
  <c r="J29" i="4"/>
  <c r="M23" i="4"/>
  <c r="P17" i="4"/>
  <c r="K24" i="4"/>
  <c r="G3" i="4"/>
  <c r="I15" i="4"/>
  <c r="J28" i="4"/>
  <c r="J12" i="4"/>
  <c r="L25" i="4"/>
  <c r="L9" i="4"/>
  <c r="M22" i="4"/>
  <c r="M6" i="4"/>
  <c r="N19" i="4"/>
  <c r="N3" i="4"/>
  <c r="P16" i="4"/>
  <c r="K29" i="4"/>
  <c r="G24" i="4"/>
  <c r="O18" i="4"/>
  <c r="K13" i="4"/>
  <c r="G8" i="4"/>
  <c r="H17" i="4"/>
  <c r="I30" i="4"/>
  <c r="I14" i="4"/>
  <c r="J27" i="4"/>
  <c r="J11" i="4"/>
  <c r="L24" i="4"/>
  <c r="L8" i="4"/>
  <c r="M21" i="4"/>
  <c r="M5" i="4"/>
  <c r="N18" i="4"/>
  <c r="P31" i="4"/>
  <c r="P15" i="4"/>
  <c r="H10" i="4"/>
  <c r="N11" i="4"/>
  <c r="K9" i="4"/>
  <c r="J31" i="4"/>
  <c r="N6" i="4"/>
  <c r="G25" i="4"/>
  <c r="H20" i="4"/>
  <c r="L27" i="4"/>
  <c r="N21" i="4"/>
  <c r="O24" i="4"/>
  <c r="H19" i="4"/>
  <c r="L26" i="4"/>
  <c r="N4" i="4"/>
  <c r="G19" i="4"/>
  <c r="H18" i="4"/>
  <c r="G13" i="4"/>
  <c r="H16" i="4"/>
  <c r="J10" i="4"/>
  <c r="M20" i="4"/>
  <c r="P30" i="4"/>
  <c r="O28" i="4"/>
  <c r="G18" i="4"/>
  <c r="O12" i="4"/>
  <c r="K7" i="4"/>
  <c r="H31" i="4"/>
  <c r="H15" i="4"/>
  <c r="I28" i="4"/>
  <c r="I12" i="4"/>
  <c r="J25" i="4"/>
  <c r="J9" i="4"/>
  <c r="L22" i="4"/>
  <c r="L6" i="4"/>
  <c r="M19" i="4"/>
  <c r="M3" i="4"/>
  <c r="N16" i="4"/>
  <c r="P29" i="4"/>
  <c r="P13" i="4"/>
  <c r="G17" i="4"/>
  <c r="I9" i="4"/>
  <c r="N29" i="4"/>
  <c r="G6" i="4"/>
  <c r="M31" i="4"/>
  <c r="G27" i="4"/>
  <c r="J20" i="4"/>
  <c r="K25" i="4"/>
  <c r="H21" i="4"/>
  <c r="J15" i="4"/>
  <c r="N22" i="4"/>
  <c r="K30" i="4"/>
  <c r="G9" i="4"/>
  <c r="J30" i="4"/>
  <c r="M24" i="4"/>
  <c r="P18" i="4"/>
  <c r="O8" i="4"/>
  <c r="I16" i="4"/>
  <c r="L10" i="4"/>
  <c r="K8" i="4"/>
  <c r="G29" i="4"/>
  <c r="K18" i="4"/>
  <c r="I13" i="4"/>
  <c r="L23" i="4"/>
  <c r="M4" i="4"/>
  <c r="P14" i="4"/>
  <c r="K23" i="4"/>
  <c r="K28" i="4"/>
  <c r="G23" i="4"/>
  <c r="O17" i="4"/>
  <c r="K12" i="4"/>
  <c r="G7" i="4"/>
  <c r="H30" i="4"/>
  <c r="H14" i="4"/>
  <c r="I27" i="4"/>
  <c r="I11" i="4"/>
  <c r="J24" i="4"/>
  <c r="J8" i="4"/>
  <c r="L21" i="4"/>
  <c r="L5" i="4"/>
  <c r="M18" i="4"/>
  <c r="N31" i="4"/>
  <c r="N15" i="4"/>
  <c r="P28" i="4"/>
  <c r="P12" i="4"/>
  <c r="H28" i="4"/>
  <c r="J6" i="4"/>
  <c r="P26" i="4"/>
  <c r="O16" i="4"/>
  <c r="H27" i="4"/>
  <c r="J5" i="4"/>
  <c r="P9" i="4"/>
  <c r="G11" i="4"/>
  <c r="I7" i="4"/>
  <c r="M14" i="4"/>
  <c r="O30" i="4"/>
  <c r="O14" i="4"/>
  <c r="I18" i="4"/>
  <c r="L12" i="4"/>
  <c r="M9" i="4"/>
  <c r="P19" i="4"/>
  <c r="O19" i="4"/>
  <c r="O3" i="4"/>
  <c r="I17" i="4"/>
  <c r="L11" i="4"/>
  <c r="N5" i="4"/>
  <c r="G30" i="4"/>
  <c r="G14" i="4"/>
  <c r="H3" i="4"/>
  <c r="J13" i="4"/>
  <c r="M7" i="4"/>
  <c r="N20" i="4"/>
  <c r="O29" i="4"/>
  <c r="O13" i="4"/>
  <c r="I31" i="4"/>
  <c r="O23" i="4"/>
  <c r="O7" i="4"/>
  <c r="I29" i="4"/>
  <c r="J26" i="4"/>
  <c r="L7" i="4"/>
  <c r="N17" i="4"/>
  <c r="G28" i="4"/>
  <c r="O22" i="4"/>
  <c r="K17" i="4"/>
  <c r="G12" i="4"/>
  <c r="O6" i="4"/>
  <c r="H29" i="4"/>
  <c r="H13" i="4"/>
  <c r="I26" i="4"/>
  <c r="I10" i="4"/>
  <c r="J23" i="4"/>
  <c r="J7" i="4"/>
  <c r="L20" i="4"/>
  <c r="L4" i="4"/>
  <c r="M17" i="4"/>
  <c r="N30" i="4"/>
  <c r="N14" i="4"/>
  <c r="P27" i="4"/>
  <c r="F2" i="4"/>
  <c r="V34" i="4" a="1"/>
  <c r="V34" i="4" s="1"/>
  <c r="M34" i="4" a="1"/>
  <c r="M34" i="4" s="1"/>
  <c r="W34" i="4" a="1"/>
  <c r="W34" i="4" s="1"/>
  <c r="N34" i="4" a="1"/>
  <c r="N34" i="4" s="1"/>
  <c r="X34" i="4" a="1"/>
  <c r="X34" i="4" s="1"/>
  <c r="O34" i="4" a="1"/>
  <c r="O34" i="4" s="1"/>
  <c r="AC34" i="4" a="1"/>
  <c r="AC34" i="4" s="1"/>
  <c r="Y34" i="4" a="1"/>
  <c r="Y34" i="4" s="1"/>
  <c r="P34" i="4" a="1"/>
  <c r="P34" i="4" s="1"/>
  <c r="AE34" i="4" a="1"/>
  <c r="AE34" i="4" s="1"/>
  <c r="AF34" i="4" a="1"/>
  <c r="AF34" i="4" s="1"/>
  <c r="K34" i="4" a="1"/>
  <c r="K34" i="4" s="1"/>
  <c r="Z34" i="4" a="1"/>
  <c r="Z34" i="4" s="1"/>
  <c r="AB34" i="4" a="1"/>
  <c r="AB34" i="4" s="1"/>
  <c r="AI34" i="4" a="1"/>
  <c r="AI34" i="4" s="1"/>
  <c r="AJ34" i="4" a="1"/>
  <c r="AJ34" i="4" s="1"/>
  <c r="AG34" i="4" a="1"/>
  <c r="AG34" i="4" s="1"/>
  <c r="AH34" i="4" a="1"/>
  <c r="AH34" i="4" s="1"/>
  <c r="U34" i="4" a="1"/>
  <c r="U34" i="4" s="1"/>
  <c r="AA34" i="4" a="1"/>
  <c r="AA34" i="4" s="1"/>
  <c r="AD34" i="4" a="1"/>
  <c r="AD34" i="4" s="1"/>
  <c r="J34" i="4" a="1"/>
  <c r="J34" i="4" s="1"/>
  <c r="Q34" i="4" a="1"/>
  <c r="Q34" i="4" s="1"/>
  <c r="H34" i="4" a="1"/>
  <c r="H34" i="4" s="1"/>
  <c r="R34" i="4" a="1"/>
  <c r="R34" i="4" s="1"/>
  <c r="I34" i="4" a="1"/>
  <c r="I34" i="4" s="1"/>
  <c r="S34" i="4" a="1"/>
  <c r="S34" i="4" s="1"/>
  <c r="T34" i="4" a="1"/>
  <c r="T34" i="4" s="1"/>
  <c r="L34" i="4" a="1"/>
  <c r="L34" i="4" s="1"/>
  <c r="G43" i="4" l="1" a="1"/>
  <c r="G43" i="4" s="1"/>
  <c r="AD2" i="4"/>
  <c r="AB2" i="4"/>
  <c r="AA2" i="4"/>
  <c r="Z2" i="4"/>
  <c r="X2" i="4"/>
  <c r="W2" i="4"/>
  <c r="V2" i="4"/>
  <c r="Y2" i="4"/>
  <c r="AC2" i="4"/>
  <c r="U2" i="4"/>
  <c r="AD46" i="4" a="1"/>
  <c r="AD46" i="4" s="1"/>
  <c r="AD47" i="4" a="1"/>
  <c r="AD47" i="4" s="1"/>
  <c r="AD45" i="4" a="1"/>
  <c r="AD45" i="4" s="1"/>
  <c r="AD44" i="4" a="1"/>
  <c r="AD44" i="4" s="1"/>
  <c r="AD48" i="4" a="1"/>
  <c r="AD48" i="4" s="1"/>
  <c r="P44" i="4" a="1"/>
  <c r="P44" i="4" s="1"/>
  <c r="P48" i="4" a="1"/>
  <c r="P48" i="4" s="1"/>
  <c r="P45" i="4" a="1"/>
  <c r="P45" i="4" s="1"/>
  <c r="P47" i="4" a="1"/>
  <c r="P47" i="4" s="1"/>
  <c r="P46" i="4" a="1"/>
  <c r="P46" i="4" s="1"/>
  <c r="Y46" i="4" a="1"/>
  <c r="Y46" i="4" s="1"/>
  <c r="Y45" i="4" a="1"/>
  <c r="Y45" i="4" s="1"/>
  <c r="Y44" i="4" a="1"/>
  <c r="Y44" i="4" s="1"/>
  <c r="Y48" i="4" a="1"/>
  <c r="Y48" i="4" s="1"/>
  <c r="Y47" i="4" a="1"/>
  <c r="Y47" i="4" s="1"/>
  <c r="AA46" i="4" a="1"/>
  <c r="AA46" i="4" s="1"/>
  <c r="AA48" i="4" a="1"/>
  <c r="AA48" i="4" s="1"/>
  <c r="AA44" i="4" a="1"/>
  <c r="AA44" i="4" s="1"/>
  <c r="AA47" i="4" a="1"/>
  <c r="AA47" i="4" s="1"/>
  <c r="AA45" i="4" a="1"/>
  <c r="AA45" i="4" s="1"/>
  <c r="U48" i="4" a="1"/>
  <c r="U48" i="4" s="1"/>
  <c r="U47" i="4" a="1"/>
  <c r="U47" i="4" s="1"/>
  <c r="U46" i="4" a="1"/>
  <c r="U46" i="4" s="1"/>
  <c r="U44" i="4" a="1"/>
  <c r="U44" i="4" s="1"/>
  <c r="U45" i="4" a="1"/>
  <c r="U45" i="4" s="1"/>
  <c r="AC48" i="4" a="1"/>
  <c r="AC48" i="4" s="1"/>
  <c r="AC44" i="4" a="1"/>
  <c r="AC44" i="4" s="1"/>
  <c r="AC45" i="4" a="1"/>
  <c r="AC45" i="4" s="1"/>
  <c r="AC47" i="4" a="1"/>
  <c r="AC47" i="4" s="1"/>
  <c r="AC46" i="4" a="1"/>
  <c r="AC46" i="4" s="1"/>
  <c r="AH48" i="4" a="1"/>
  <c r="AH48" i="4" s="1"/>
  <c r="AH47" i="4" a="1"/>
  <c r="AH47" i="4" s="1"/>
  <c r="AH45" i="4" a="1"/>
  <c r="AH45" i="4" s="1"/>
  <c r="AH46" i="4" a="1"/>
  <c r="AH46" i="4" s="1"/>
  <c r="AH44" i="4" a="1"/>
  <c r="AH44" i="4" s="1"/>
  <c r="O47" i="4" a="1"/>
  <c r="O47" i="4" s="1"/>
  <c r="O44" i="4" a="1"/>
  <c r="O44" i="4" s="1"/>
  <c r="O48" i="4" a="1"/>
  <c r="O48" i="4" s="1"/>
  <c r="O46" i="4" a="1"/>
  <c r="O46" i="4" s="1"/>
  <c r="O45" i="4" a="1"/>
  <c r="O45" i="4" s="1"/>
  <c r="L44" i="4" a="1"/>
  <c r="L44" i="4" s="1"/>
  <c r="L48" i="4" a="1"/>
  <c r="L48" i="4" s="1"/>
  <c r="L46" i="4" a="1"/>
  <c r="L46" i="4" s="1"/>
  <c r="L45" i="4" a="1"/>
  <c r="L45" i="4" s="1"/>
  <c r="L47" i="4" a="1"/>
  <c r="L47" i="4" s="1"/>
  <c r="AG48" i="4" a="1"/>
  <c r="AG48" i="4" s="1"/>
  <c r="AG47" i="4" a="1"/>
  <c r="AG47" i="4" s="1"/>
  <c r="AG46" i="4" a="1"/>
  <c r="AG46" i="4" s="1"/>
  <c r="AG44" i="4" a="1"/>
  <c r="AG44" i="4" s="1"/>
  <c r="AG45" i="4" a="1"/>
  <c r="AG45" i="4" s="1"/>
  <c r="X45" i="4" a="1"/>
  <c r="X45" i="4" s="1"/>
  <c r="X46" i="4" a="1"/>
  <c r="X46" i="4" s="1"/>
  <c r="X47" i="4" a="1"/>
  <c r="X47" i="4" s="1"/>
  <c r="X48" i="4" a="1"/>
  <c r="X48" i="4" s="1"/>
  <c r="X44" i="4" a="1"/>
  <c r="X44" i="4" s="1"/>
  <c r="J48" i="4" a="1"/>
  <c r="J48" i="4" s="1"/>
  <c r="J47" i="4" a="1"/>
  <c r="J47" i="4" s="1"/>
  <c r="J44" i="4" a="1"/>
  <c r="J44" i="4" s="1"/>
  <c r="J45" i="4" a="1"/>
  <c r="J45" i="4" s="1"/>
  <c r="J46" i="4" a="1"/>
  <c r="J46" i="4" s="1"/>
  <c r="AJ45" i="4" a="1"/>
  <c r="AJ45" i="4" s="1"/>
  <c r="AJ44" i="4" a="1"/>
  <c r="AJ44" i="4" s="1"/>
  <c r="AJ46" i="4" a="1"/>
  <c r="AJ46" i="4" s="1"/>
  <c r="AJ47" i="4" a="1"/>
  <c r="AJ47" i="4" s="1"/>
  <c r="AJ48" i="4" a="1"/>
  <c r="AJ48" i="4" s="1"/>
  <c r="N47" i="4" a="1"/>
  <c r="N47" i="4" s="1"/>
  <c r="N46" i="4" a="1"/>
  <c r="N46" i="4" s="1"/>
  <c r="N45" i="4" a="1"/>
  <c r="N45" i="4" s="1"/>
  <c r="N44" i="4" a="1"/>
  <c r="N44" i="4" s="1"/>
  <c r="N48" i="4" a="1"/>
  <c r="N48" i="4" s="1"/>
  <c r="AI48" i="4" a="1"/>
  <c r="AI48" i="4" s="1"/>
  <c r="AI47" i="4" a="1"/>
  <c r="AI47" i="4" s="1"/>
  <c r="AI46" i="4" a="1"/>
  <c r="AI46" i="4" s="1"/>
  <c r="AI45" i="4" a="1"/>
  <c r="AI45" i="4" s="1"/>
  <c r="AI44" i="4" a="1"/>
  <c r="AI44" i="4" s="1"/>
  <c r="W48" i="4" a="1"/>
  <c r="W48" i="4" s="1"/>
  <c r="W47" i="4" a="1"/>
  <c r="W47" i="4" s="1"/>
  <c r="W44" i="4" a="1"/>
  <c r="W44" i="4" s="1"/>
  <c r="W46" i="4" a="1"/>
  <c r="W46" i="4" s="1"/>
  <c r="W45" i="4" a="1"/>
  <c r="W45" i="4" s="1"/>
  <c r="M46" i="4" a="1"/>
  <c r="M46" i="4" s="1"/>
  <c r="M45" i="4" a="1"/>
  <c r="M45" i="4" s="1"/>
  <c r="M44" i="4" a="1"/>
  <c r="M44" i="4" s="1"/>
  <c r="M48" i="4" a="1"/>
  <c r="M48" i="4" s="1"/>
  <c r="M47" i="4" a="1"/>
  <c r="M47" i="4" s="1"/>
  <c r="S46" i="4" a="1"/>
  <c r="S46" i="4" s="1"/>
  <c r="S44" i="4" a="1"/>
  <c r="S44" i="4" s="1"/>
  <c r="S48" i="4" a="1"/>
  <c r="S48" i="4" s="1"/>
  <c r="S47" i="4" a="1"/>
  <c r="S47" i="4" s="1"/>
  <c r="S45" i="4" a="1"/>
  <c r="S45" i="4" s="1"/>
  <c r="R46" i="4" a="1"/>
  <c r="R46" i="4" s="1"/>
  <c r="R47" i="4" a="1"/>
  <c r="R47" i="4" s="1"/>
  <c r="R48" i="4" a="1"/>
  <c r="R48" i="4" s="1"/>
  <c r="R45" i="4" a="1"/>
  <c r="R45" i="4" s="1"/>
  <c r="R44" i="4" a="1"/>
  <c r="R44" i="4" s="1"/>
  <c r="Z47" i="4" a="1"/>
  <c r="Z47" i="4" s="1"/>
  <c r="Z46" i="4" a="1"/>
  <c r="Z46" i="4" s="1"/>
  <c r="Z45" i="4" a="1"/>
  <c r="Z45" i="4" s="1"/>
  <c r="Z44" i="4" a="1"/>
  <c r="Z44" i="4" s="1"/>
  <c r="Z48" i="4" a="1"/>
  <c r="Z48" i="4" s="1"/>
  <c r="V48" i="4" a="1"/>
  <c r="V48" i="4" s="1"/>
  <c r="V47" i="4" a="1"/>
  <c r="V47" i="4" s="1"/>
  <c r="V45" i="4" a="1"/>
  <c r="V45" i="4" s="1"/>
  <c r="V44" i="4" a="1"/>
  <c r="V44" i="4" s="1"/>
  <c r="V46" i="4" a="1"/>
  <c r="V46" i="4" s="1"/>
  <c r="AE46" i="4" a="1"/>
  <c r="AE46" i="4" s="1"/>
  <c r="AE45" i="4" a="1"/>
  <c r="AE45" i="4" s="1"/>
  <c r="AE44" i="4" a="1"/>
  <c r="AE44" i="4" s="1"/>
  <c r="AE48" i="4" a="1"/>
  <c r="AE48" i="4" s="1"/>
  <c r="AE47" i="4" a="1"/>
  <c r="AE47" i="4" s="1"/>
  <c r="AB48" i="4" a="1"/>
  <c r="AB48" i="4" s="1"/>
  <c r="AB45" i="4" a="1"/>
  <c r="AB45" i="4" s="1"/>
  <c r="AB47" i="4" a="1"/>
  <c r="AB47" i="4" s="1"/>
  <c r="AB44" i="4" a="1"/>
  <c r="AB44" i="4" s="1"/>
  <c r="AB46" i="4" a="1"/>
  <c r="AB46" i="4" s="1"/>
  <c r="H46" i="4" a="1"/>
  <c r="H46" i="4" s="1"/>
  <c r="H44" i="4" a="1"/>
  <c r="H44" i="4" s="1"/>
  <c r="H48" i="4" a="1"/>
  <c r="H48" i="4" s="1"/>
  <c r="H45" i="4" a="1"/>
  <c r="H45" i="4" s="1"/>
  <c r="H47" i="4" a="1"/>
  <c r="H47" i="4" s="1"/>
  <c r="K48" i="4" a="1"/>
  <c r="K48" i="4" s="1"/>
  <c r="K44" i="4" a="1"/>
  <c r="K44" i="4" s="1"/>
  <c r="K45" i="4" a="1"/>
  <c r="K45" i="4" s="1"/>
  <c r="K46" i="4" a="1"/>
  <c r="K46" i="4" s="1"/>
  <c r="K47" i="4" a="1"/>
  <c r="K47" i="4" s="1"/>
  <c r="T47" i="4" a="1"/>
  <c r="T47" i="4" s="1"/>
  <c r="T45" i="4" a="1"/>
  <c r="T45" i="4" s="1"/>
  <c r="T48" i="4" a="1"/>
  <c r="T48" i="4" s="1"/>
  <c r="T46" i="4" a="1"/>
  <c r="T46" i="4" s="1"/>
  <c r="T44" i="4" a="1"/>
  <c r="T44" i="4" s="1"/>
  <c r="I48" i="4" a="1"/>
  <c r="I48" i="4" s="1"/>
  <c r="I46" i="4" a="1"/>
  <c r="I46" i="4" s="1"/>
  <c r="I45" i="4" a="1"/>
  <c r="I45" i="4" s="1"/>
  <c r="I47" i="4" a="1"/>
  <c r="I47" i="4" s="1"/>
  <c r="I44" i="4" a="1"/>
  <c r="I44" i="4" s="1"/>
  <c r="Q48" i="4" a="1"/>
  <c r="Q48" i="4" s="1"/>
  <c r="Q44" i="4" a="1"/>
  <c r="Q44" i="4" s="1"/>
  <c r="Q47" i="4" a="1"/>
  <c r="Q47" i="4" s="1"/>
  <c r="Q45" i="4" a="1"/>
  <c r="Q45" i="4" s="1"/>
  <c r="Q46" i="4" a="1"/>
  <c r="Q46" i="4" s="1"/>
  <c r="AF47" i="4" a="1"/>
  <c r="AF47" i="4" s="1"/>
  <c r="AF46" i="4" a="1"/>
  <c r="AF46" i="4" s="1"/>
  <c r="AF48" i="4" a="1"/>
  <c r="AF48" i="4" s="1"/>
  <c r="AF44" i="4" a="1"/>
  <c r="AF44" i="4" s="1"/>
  <c r="AF45" i="4" a="1"/>
  <c r="AF45" i="4" s="1"/>
  <c r="W38" i="4" a="1"/>
  <c r="W38" i="4" s="1"/>
  <c r="I36" i="4" a="1"/>
  <c r="I36" i="4" s="1"/>
  <c r="Q38" i="4" a="1"/>
  <c r="Q38" i="4" s="1"/>
  <c r="AA36" i="4" a="1"/>
  <c r="AA36" i="4" s="1"/>
  <c r="AB36" i="4" a="1"/>
  <c r="AB36" i="4" s="1"/>
  <c r="M37" i="4" a="1"/>
  <c r="M37" i="4" s="1"/>
  <c r="U35" i="4" a="1"/>
  <c r="U35" i="4" s="1"/>
  <c r="N35" i="4" a="1"/>
  <c r="N35" i="4" s="1"/>
  <c r="AI36" i="4" a="1"/>
  <c r="AI36" i="4" s="1"/>
  <c r="AD35" i="4" a="1"/>
  <c r="AD35" i="4" s="1"/>
  <c r="Z35" i="4" a="1"/>
  <c r="Z35" i="4" s="1"/>
  <c r="J37" i="4" a="1"/>
  <c r="J37" i="4" s="1"/>
  <c r="AF38" i="4" a="1"/>
  <c r="AF38" i="4" s="1"/>
  <c r="J38" i="4" a="1"/>
  <c r="J38" i="4" s="1"/>
  <c r="U38" i="4" a="1"/>
  <c r="U38" i="4" s="1"/>
  <c r="X36" i="4" a="1"/>
  <c r="X36" i="4" s="1"/>
  <c r="AI39" i="4" a="1"/>
  <c r="AI39" i="4" s="1"/>
  <c r="P35" i="4" a="1"/>
  <c r="P35" i="4" s="1"/>
  <c r="AC35" i="4" a="1"/>
  <c r="AC35" i="4" s="1"/>
  <c r="AE38" i="4" a="1"/>
  <c r="AE38" i="4" s="1"/>
  <c r="X39" i="4" a="1"/>
  <c r="X39" i="4" s="1"/>
  <c r="J35" i="4" a="1"/>
  <c r="J35" i="4" s="1"/>
  <c r="AJ35" i="4" a="1"/>
  <c r="AJ35" i="4" s="1"/>
  <c r="L39" i="4" a="1"/>
  <c r="L39" i="4" s="1"/>
  <c r="Y35" i="4" a="1"/>
  <c r="Y35" i="4" s="1"/>
  <c r="K39" i="4" a="1"/>
  <c r="K39" i="4" s="1"/>
  <c r="Z37" i="4" a="1"/>
  <c r="Z37" i="4" s="1"/>
  <c r="I39" i="4" a="1"/>
  <c r="I39" i="4" s="1"/>
  <c r="AE37" i="4" a="1"/>
  <c r="AE37" i="4" s="1"/>
  <c r="N36" i="4" a="1"/>
  <c r="N36" i="4" s="1"/>
  <c r="H39" i="4" a="1"/>
  <c r="H39" i="4" s="1"/>
  <c r="T36" i="4" a="1"/>
  <c r="T36" i="4" s="1"/>
  <c r="M38" i="4" a="1"/>
  <c r="M38" i="4" s="1"/>
  <c r="Q36" i="4" a="1"/>
  <c r="Q36" i="4" s="1"/>
  <c r="AF39" i="4" a="1"/>
  <c r="AF39" i="4" s="1"/>
  <c r="X38" i="4" a="1"/>
  <c r="X38" i="4" s="1"/>
  <c r="X37" i="4" a="1"/>
  <c r="X37" i="4" s="1"/>
  <c r="K36" i="4" a="1"/>
  <c r="K36" i="4" s="1"/>
  <c r="N39" i="4" a="1"/>
  <c r="N39" i="4" s="1"/>
  <c r="AG38" i="4" a="1"/>
  <c r="AG38" i="4" s="1"/>
  <c r="U36" i="4" a="1"/>
  <c r="U36" i="4" s="1"/>
  <c r="AJ36" i="4" a="1"/>
  <c r="AJ36" i="4" s="1"/>
  <c r="AF35" i="4" a="1"/>
  <c r="AF35" i="4" s="1"/>
  <c r="AH35" i="4" a="1"/>
  <c r="AH35" i="4" s="1"/>
  <c r="M36" i="4" a="1"/>
  <c r="M36" i="4" s="1"/>
  <c r="V36" i="4" a="1"/>
  <c r="V36" i="4" s="1"/>
  <c r="AE39" i="4" a="1"/>
  <c r="AE39" i="4" s="1"/>
  <c r="O38" i="4" a="1"/>
  <c r="O38" i="4" s="1"/>
  <c r="AH36" i="4" a="1"/>
  <c r="AH36" i="4" s="1"/>
  <c r="R38" i="4" a="1"/>
  <c r="R38" i="4" s="1"/>
  <c r="AA38" i="4" a="1"/>
  <c r="AA38" i="4" s="1"/>
  <c r="AG36" i="4" a="1"/>
  <c r="AG36" i="4" s="1"/>
  <c r="V35" i="4" a="1"/>
  <c r="V35" i="4" s="1"/>
  <c r="AJ38" i="4" a="1"/>
  <c r="AJ38" i="4" s="1"/>
  <c r="AE35" i="4" a="1"/>
  <c r="AE35" i="4" s="1"/>
  <c r="S35" i="4" a="1"/>
  <c r="S35" i="4" s="1"/>
  <c r="Q39" i="4" a="1"/>
  <c r="Q39" i="4" s="1"/>
  <c r="O39" i="4" a="1"/>
  <c r="O39" i="4" s="1"/>
  <c r="AD38" i="4" a="1"/>
  <c r="AD38" i="4" s="1"/>
  <c r="P39" i="4" a="1"/>
  <c r="P39" i="4" s="1"/>
  <c r="AI37" i="4" a="1"/>
  <c r="AI37" i="4" s="1"/>
  <c r="Y37" i="4" a="1"/>
  <c r="Y37" i="4" s="1"/>
  <c r="O37" i="4" a="1"/>
  <c r="O37" i="4" s="1"/>
  <c r="AC36" i="4" a="1"/>
  <c r="AC36" i="4" s="1"/>
  <c r="J36" i="4" a="1"/>
  <c r="J36" i="4" s="1"/>
  <c r="AH39" i="4" a="1"/>
  <c r="AH39" i="4" s="1"/>
  <c r="U39" i="4" a="1"/>
  <c r="U39" i="4" s="1"/>
  <c r="W35" i="4" a="1"/>
  <c r="W35" i="4" s="1"/>
  <c r="AC37" i="4" a="1"/>
  <c r="AC37" i="4" s="1"/>
  <c r="R35" i="4" a="1"/>
  <c r="R35" i="4" s="1"/>
  <c r="N38" i="4" a="1"/>
  <c r="N38" i="4" s="1"/>
  <c r="M39" i="4" a="1"/>
  <c r="M39" i="4" s="1"/>
  <c r="AD36" i="4" a="1"/>
  <c r="AD36" i="4" s="1"/>
  <c r="AA35" i="4" a="1"/>
  <c r="AA35" i="4" s="1"/>
  <c r="Y39" i="4" a="1"/>
  <c r="Y39" i="4" s="1"/>
  <c r="W37" i="4" a="1"/>
  <c r="W37" i="4" s="1"/>
  <c r="AI38" i="4" a="1"/>
  <c r="AI38" i="4" s="1"/>
  <c r="U37" i="4" a="1"/>
  <c r="U37" i="4" s="1"/>
  <c r="AD39" i="4" a="1"/>
  <c r="AD39" i="4" s="1"/>
  <c r="AB38" i="4" a="1"/>
  <c r="AB38" i="4" s="1"/>
  <c r="T38" i="4" a="1"/>
  <c r="T38" i="4" s="1"/>
  <c r="AD37" i="4" a="1"/>
  <c r="AD37" i="4" s="1"/>
  <c r="AF37" i="4" a="1"/>
  <c r="AF37" i="4" s="1"/>
  <c r="AI35" i="4" a="1"/>
  <c r="AI35" i="4" s="1"/>
  <c r="N37" i="4" a="1"/>
  <c r="N37" i="4" s="1"/>
  <c r="Y36" i="4" a="1"/>
  <c r="Y36" i="4" s="1"/>
  <c r="AA39" i="4" a="1"/>
  <c r="AA39" i="4" s="1"/>
  <c r="M35" i="4" a="1"/>
  <c r="M35" i="4" s="1"/>
  <c r="V39" i="4" a="1"/>
  <c r="V39" i="4" s="1"/>
  <c r="Q35" i="4" a="1"/>
  <c r="Q35" i="4" s="1"/>
  <c r="AG35" i="4" a="1"/>
  <c r="AG35" i="4" s="1"/>
  <c r="K37" i="4" a="1"/>
  <c r="K37" i="4" s="1"/>
  <c r="L37" i="4" a="1"/>
  <c r="L37" i="4" s="1"/>
  <c r="Z39" i="4" a="1"/>
  <c r="Z39" i="4" s="1"/>
  <c r="Q37" i="4" a="1"/>
  <c r="Q37" i="4" s="1"/>
  <c r="O35" i="4" a="1"/>
  <c r="O35" i="4" s="1"/>
  <c r="X35" i="4" a="1"/>
  <c r="X35" i="4" s="1"/>
  <c r="P36" i="4" a="1"/>
  <c r="P36" i="4" s="1"/>
  <c r="V37" i="4" a="1"/>
  <c r="V37" i="4" s="1"/>
  <c r="T39" i="4" a="1"/>
  <c r="T39" i="4" s="1"/>
  <c r="AJ37" i="4" a="1"/>
  <c r="AJ37" i="4" s="1"/>
  <c r="R39" i="4" a="1"/>
  <c r="R39" i="4" s="1"/>
  <c r="L35" i="4" a="1"/>
  <c r="L35" i="4" s="1"/>
  <c r="P37" i="4" a="1"/>
  <c r="P37" i="4" s="1"/>
  <c r="AC39" i="4" a="1"/>
  <c r="AC39" i="4" s="1"/>
  <c r="AG39" i="4" a="1"/>
  <c r="AG39" i="4" s="1"/>
  <c r="AG37" i="4" a="1"/>
  <c r="AG37" i="4" s="1"/>
  <c r="Z36" i="4" a="1"/>
  <c r="Z36" i="4" s="1"/>
  <c r="I35" i="4" a="1"/>
  <c r="I35" i="4" s="1"/>
  <c r="Y38" i="4" a="1"/>
  <c r="Y38" i="4" s="1"/>
  <c r="K35" i="4" a="1"/>
  <c r="K35" i="4" s="1"/>
  <c r="W36" i="4" a="1"/>
  <c r="W36" i="4" s="1"/>
  <c r="AE36" i="4" a="1"/>
  <c r="AE36" i="4" s="1"/>
  <c r="AA37" i="4" a="1"/>
  <c r="AA37" i="4" s="1"/>
  <c r="K38" i="4" a="1"/>
  <c r="K38" i="4" s="1"/>
  <c r="J39" i="4" a="1"/>
  <c r="J39" i="4" s="1"/>
  <c r="L38" i="4" a="1"/>
  <c r="L38" i="4" s="1"/>
  <c r="AC38" i="4" a="1"/>
  <c r="AC38" i="4" s="1"/>
  <c r="O36" i="4" a="1"/>
  <c r="O36" i="4" s="1"/>
  <c r="G34" i="4" a="1"/>
  <c r="G34" i="4" s="1"/>
  <c r="P2" i="4"/>
  <c r="K2" i="4"/>
  <c r="I2" i="4"/>
  <c r="N2" i="4"/>
  <c r="M2" i="4"/>
  <c r="L2" i="4"/>
  <c r="O2" i="4"/>
  <c r="J2" i="4"/>
  <c r="H2" i="4"/>
  <c r="G2" i="4"/>
  <c r="H37" i="4" a="1"/>
  <c r="H37" i="4" s="1"/>
  <c r="H36" i="4" a="1"/>
  <c r="H36" i="4" s="1"/>
  <c r="L36" i="4" a="1"/>
  <c r="L36" i="4" s="1"/>
  <c r="R37" i="4" a="1"/>
  <c r="R37" i="4" s="1"/>
  <c r="AJ39" i="4" a="1"/>
  <c r="AJ39" i="4" s="1"/>
  <c r="I37" i="4" a="1"/>
  <c r="I37" i="4" s="1"/>
  <c r="V38" i="4" a="1"/>
  <c r="V38" i="4" s="1"/>
  <c r="AH37" i="4" a="1"/>
  <c r="AH37" i="4" s="1"/>
  <c r="I38" i="4" a="1"/>
  <c r="I38" i="4" s="1"/>
  <c r="W39" i="4" a="1"/>
  <c r="W39" i="4" s="1"/>
  <c r="H38" i="4" a="1"/>
  <c r="H38" i="4" s="1"/>
  <c r="AH38" i="4" a="1"/>
  <c r="AH38" i="4" s="1"/>
  <c r="S39" i="4" a="1"/>
  <c r="S39" i="4" s="1"/>
  <c r="AF36" i="4" a="1"/>
  <c r="AF36" i="4" s="1"/>
  <c r="H35" i="4" a="1"/>
  <c r="H35" i="4" s="1"/>
  <c r="Z38" i="4" a="1"/>
  <c r="Z38" i="4" s="1"/>
  <c r="S37" i="4" a="1"/>
  <c r="S37" i="4" s="1"/>
  <c r="S38" i="4" a="1"/>
  <c r="S38" i="4" s="1"/>
  <c r="T37" i="4" a="1"/>
  <c r="T37" i="4" s="1"/>
  <c r="AB35" i="4" a="1"/>
  <c r="AB35" i="4" s="1"/>
  <c r="P38" i="4" a="1"/>
  <c r="P38" i="4" s="1"/>
  <c r="AB37" i="4" a="1"/>
  <c r="AB37" i="4" s="1"/>
  <c r="AB39" i="4" a="1"/>
  <c r="AB39" i="4" s="1"/>
  <c r="S36" i="4" a="1"/>
  <c r="S36" i="4" s="1"/>
  <c r="R36" i="4" a="1"/>
  <c r="R36" i="4" s="1"/>
  <c r="T35" i="4" a="1"/>
  <c r="T35" i="4" s="1"/>
  <c r="G44" i="4" l="1" a="1"/>
  <c r="G44" i="4" s="1"/>
  <c r="G45" i="4" a="1"/>
  <c r="G45" i="4" s="1"/>
  <c r="G47" i="4" a="1"/>
  <c r="G47" i="4" s="1"/>
  <c r="G46" i="4" a="1"/>
  <c r="G46" i="4" s="1"/>
  <c r="G48" i="4" a="1"/>
  <c r="G48" i="4" s="1"/>
  <c r="G35" i="4" a="1"/>
  <c r="G35" i="4" s="1"/>
  <c r="G37" i="4" a="1"/>
  <c r="G37" i="4" s="1"/>
  <c r="G36" i="4" a="1"/>
  <c r="G36" i="4" s="1"/>
  <c r="G38" i="4" a="1"/>
  <c r="G38" i="4" s="1"/>
  <c r="G39" i="4" a="1"/>
  <c r="G39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<sst xmlns="http://schemas.openxmlformats.org/spreadsheetml/2006/main" count="4802" uniqueCount="485">
  <si>
    <t>MRNGO Feature Curation — 10-Item Lists</t>
  </si>
  <si>
    <t>How to curate:</t>
  </si>
  <si>
    <t>Add up to 10 features per concept. Use the FeaturePool sheet to browse and copy available features.</t>
  </si>
  <si>
    <t>1. Go to the FeaturePool sheet to browse all features for a concept.</t>
  </si>
  <si>
    <t>Concept</t>
  </si>
  <si>
    <t>Conceptno</t>
  </si>
  <si>
    <t>featureno</t>
  </si>
  <si>
    <t>Feature</t>
  </si>
  <si>
    <t>Freq (concept)</t>
  </si>
  <si>
    <t>Distinct</t>
  </si>
  <si>
    <t>Item #</t>
  </si>
  <si>
    <t>Notes</t>
  </si>
  <si>
    <t>2. Copy featureno and Feature into the matching rows here.</t>
  </si>
  <si>
    <t>alma</t>
  </si>
  <si>
    <t>f12</t>
  </si>
  <si>
    <t>feat02</t>
  </si>
  <si>
    <t>LEHET_ESZIK</t>
  </si>
  <si>
    <t>3. Filled rows will highlight green automatically.</t>
  </si>
  <si>
    <t>feat60</t>
  </si>
  <si>
    <t>HOL_KERT</t>
  </si>
  <si>
    <t>feat09</t>
  </si>
  <si>
    <t>ILYEN_PIROS</t>
  </si>
  <si>
    <t>switched these</t>
  </si>
  <si>
    <t>feat20</t>
  </si>
  <si>
    <t>ALFAJTA_ZÖLD</t>
  </si>
  <si>
    <t>switched these, it's not possible to figure out without the colour</t>
  </si>
  <si>
    <t>feat07</t>
  </si>
  <si>
    <t>FAJTA_GYÜMÖLCS</t>
  </si>
  <si>
    <t>feat180</t>
  </si>
  <si>
    <t>ILYEN_EGÉSZSÉGES</t>
  </si>
  <si>
    <t>feat182</t>
  </si>
  <si>
    <t>ILYEN_KÖRALAKÚ</t>
  </si>
  <si>
    <t>feat40</t>
  </si>
  <si>
    <t>HOL_PIAC</t>
  </si>
  <si>
    <t>feat59</t>
  </si>
  <si>
    <t>HOL_FA</t>
  </si>
  <si>
    <t>with these</t>
  </si>
  <si>
    <t>feat21</t>
  </si>
  <si>
    <t>ILYEN_FINOM</t>
  </si>
  <si>
    <t>asztal</t>
  </si>
  <si>
    <t>t17</t>
  </si>
  <si>
    <t>feat23</t>
  </si>
  <si>
    <t>MIBŐL_FA</t>
  </si>
  <si>
    <t>feat14</t>
  </si>
  <si>
    <t>NÉGY_LÁB</t>
  </si>
  <si>
    <t>these first two should be after each other I think</t>
  </si>
  <si>
    <t>feat39</t>
  </si>
  <si>
    <t>HOL_ISKOLA</t>
  </si>
  <si>
    <t>feat97</t>
  </si>
  <si>
    <t>BENNE_ESZIK</t>
  </si>
  <si>
    <t>feat71</t>
  </si>
  <si>
    <t>FAJTA_TÁRGY</t>
  </si>
  <si>
    <t>feat06</t>
  </si>
  <si>
    <t>HOL_HÁZ</t>
  </si>
  <si>
    <t>feat32</t>
  </si>
  <si>
    <t>LEHET_RAJZOL</t>
  </si>
  <si>
    <t>feat29</t>
  </si>
  <si>
    <t>LEHET_ÍR</t>
  </si>
  <si>
    <t>feat151</t>
  </si>
  <si>
    <t>HOL_LAKÁS</t>
  </si>
  <si>
    <t>feat158</t>
  </si>
  <si>
    <t>LEHET_RÁTESZ</t>
  </si>
  <si>
    <t>autó</t>
  </si>
  <si>
    <t>v13</t>
  </si>
  <si>
    <t>feat44</t>
  </si>
  <si>
    <t>RÉSZE_KERÉK</t>
  </si>
  <si>
    <t>feat265</t>
  </si>
  <si>
    <t>TUD_GURUL</t>
  </si>
  <si>
    <t>feat55</t>
  </si>
  <si>
    <t>ILYEN_GYORS</t>
  </si>
  <si>
    <t>feat10</t>
  </si>
  <si>
    <t>MIBŐL_FÉM</t>
  </si>
  <si>
    <t>feat70</t>
  </si>
  <si>
    <t>FAJTA_JÁRMŰ</t>
  </si>
  <si>
    <t>feat81</t>
  </si>
  <si>
    <t>LEHET_ÜL</t>
  </si>
  <si>
    <t>feat133</t>
  </si>
  <si>
    <t>TUD_SZÁLLÍT</t>
  </si>
  <si>
    <t>feat04</t>
  </si>
  <si>
    <t>ILYEN_NAGY</t>
  </si>
  <si>
    <t>feat251</t>
  </si>
  <si>
    <t>HOL_ÚT</t>
  </si>
  <si>
    <t>feat130</t>
  </si>
  <si>
    <t>LEHET_VEZET</t>
  </si>
  <si>
    <t>bab</t>
  </si>
  <si>
    <t>pl24</t>
  </si>
  <si>
    <t>feat98</t>
  </si>
  <si>
    <t>FAJTA_ZÖLDSÉG</t>
  </si>
  <si>
    <t>feat30</t>
  </si>
  <si>
    <t>ILYEN_KICSI</t>
  </si>
  <si>
    <t>feat05</t>
  </si>
  <si>
    <t>ILYEN_BARNA</t>
  </si>
  <si>
    <t>feat24</t>
  </si>
  <si>
    <t>RÉSZE_BELSŐ</t>
  </si>
  <si>
    <t>feat33</t>
  </si>
  <si>
    <t>HOL_FÖLD</t>
  </si>
  <si>
    <t>feat93</t>
  </si>
  <si>
    <t>RÉSZE_HÉJ</t>
  </si>
  <si>
    <t>feat220</t>
  </si>
  <si>
    <t>LEHET_FŐZ</t>
  </si>
  <si>
    <t>ceruza</t>
  </si>
  <si>
    <t>ty07</t>
  </si>
  <si>
    <t>feat198</t>
  </si>
  <si>
    <t>TUD_RAJZOL</t>
  </si>
  <si>
    <t>feat218</t>
  </si>
  <si>
    <t>ILYEN_VÉKONY</t>
  </si>
  <si>
    <t>feat100</t>
  </si>
  <si>
    <t>ILYEN_SZÍNES</t>
  </si>
  <si>
    <t>KI_GYEREK</t>
  </si>
  <si>
    <t>feat155</t>
  </si>
  <si>
    <t>feat128</t>
  </si>
  <si>
    <t>LEHET_FOG</t>
  </si>
  <si>
    <t>feat42</t>
  </si>
  <si>
    <t>LEHET_JÁTSZIK</t>
  </si>
  <si>
    <t>cipő</t>
  </si>
  <si>
    <t>c13</t>
  </si>
  <si>
    <t>feat34</t>
  </si>
  <si>
    <t>LEHET_FELVESZ</t>
  </si>
  <si>
    <t>feat187</t>
  </si>
  <si>
    <t>MIBŐL_ANYAG</t>
  </si>
  <si>
    <t>feat38</t>
  </si>
  <si>
    <t>HOL_EMBER</t>
  </si>
  <si>
    <t>feat105</t>
  </si>
  <si>
    <t>RÉSZE_LÁBFEJ</t>
  </si>
  <si>
    <t>feat259</t>
  </si>
  <si>
    <t>MIBŐL_FONAL</t>
  </si>
  <si>
    <t>feat54</t>
  </si>
  <si>
    <t>HOL_UTCA</t>
  </si>
  <si>
    <t>feat207</t>
  </si>
  <si>
    <t>FAJTA_RUHADARAB</t>
  </si>
  <si>
    <t>feat63</t>
  </si>
  <si>
    <t>LEHET_JÁR</t>
  </si>
  <si>
    <t>feat51</t>
  </si>
  <si>
    <t>RÉSZE_TALP</t>
  </si>
  <si>
    <t>citrom</t>
  </si>
  <si>
    <t>f15</t>
  </si>
  <si>
    <t>feat17</t>
  </si>
  <si>
    <t>ILYEN_SÁRGA</t>
  </si>
  <si>
    <t>feat31</t>
  </si>
  <si>
    <t>ILYEN_SAVANYÚ</t>
  </si>
  <si>
    <t>feat45</t>
  </si>
  <si>
    <t>RÉSZE_MAG</t>
  </si>
  <si>
    <t>feat303</t>
  </si>
  <si>
    <t>LEHET_MEGKÓSTOL</t>
  </si>
  <si>
    <t>feat85</t>
  </si>
  <si>
    <t>TUD_TEREM</t>
  </si>
  <si>
    <t>eper</t>
  </si>
  <si>
    <t>f17</t>
  </si>
  <si>
    <t>feat52</t>
  </si>
  <si>
    <t>ALFAJTA_KICSI</t>
  </si>
  <si>
    <t>feat284</t>
  </si>
  <si>
    <t>HOL_BOKOR</t>
  </si>
  <si>
    <t>feat193</t>
  </si>
  <si>
    <t>RÉSZE_LEVÉL</t>
  </si>
  <si>
    <t>erdő</t>
  </si>
  <si>
    <t>l23</t>
  </si>
  <si>
    <t>feat86</t>
  </si>
  <si>
    <t>BENNE_EMBER</t>
  </si>
  <si>
    <t>feat08</t>
  </si>
  <si>
    <t>FAJTA_ÁLLAT</t>
  </si>
  <si>
    <t>feat335</t>
  </si>
  <si>
    <t>BENNE_FÖLD</t>
  </si>
  <si>
    <t>feat242</t>
  </si>
  <si>
    <t>FAJTA_HELY</t>
  </si>
  <si>
    <t>feat184</t>
  </si>
  <si>
    <t>ILYEN_ZÖLD</t>
  </si>
  <si>
    <t>feat297</t>
  </si>
  <si>
    <t>ILYEN_SZÉP</t>
  </si>
  <si>
    <t>feat159</t>
  </si>
  <si>
    <t>LEHET_SÉTÁL</t>
  </si>
  <si>
    <t>feat80</t>
  </si>
  <si>
    <t>LEHET_LOVAGOL</t>
  </si>
  <si>
    <t>gomba</t>
  </si>
  <si>
    <t>pl11</t>
  </si>
  <si>
    <t>feat48</t>
  </si>
  <si>
    <t>HOL_ERDŐ</t>
  </si>
  <si>
    <t>feat96</t>
  </si>
  <si>
    <t>TUD_NŐ</t>
  </si>
  <si>
    <t>feat263</t>
  </si>
  <si>
    <t>RÉSZE_PÖTTY</t>
  </si>
  <si>
    <t>feat99</t>
  </si>
  <si>
    <t>FAJTA_ÉLŐLÉNY</t>
  </si>
  <si>
    <t>gyerek</t>
  </si>
  <si>
    <t>p13</t>
  </si>
  <si>
    <t>feat104</t>
  </si>
  <si>
    <t>RÉSZE_HAJ</t>
  </si>
  <si>
    <t>feat119</t>
  </si>
  <si>
    <t>RÉSZE_KÉZ</t>
  </si>
  <si>
    <t>feat03</t>
  </si>
  <si>
    <t>RÉSZE_LÁB</t>
  </si>
  <si>
    <t>feat124</t>
  </si>
  <si>
    <t>FAJTA_EMBER</t>
  </si>
  <si>
    <t>feat132</t>
  </si>
  <si>
    <t>TUD_JÁTSZIK</t>
  </si>
  <si>
    <t>feat364</t>
  </si>
  <si>
    <t>ILYEN_ALACSONY</t>
  </si>
  <si>
    <t>helikopter</t>
  </si>
  <si>
    <t>v03</t>
  </si>
  <si>
    <t>feat368</t>
  </si>
  <si>
    <t>ILYEN_HANGOS</t>
  </si>
  <si>
    <t>feat91</t>
  </si>
  <si>
    <t>RÉSZE_ABLAK</t>
  </si>
  <si>
    <t>feat288</t>
  </si>
  <si>
    <t>HOL_MESSZE</t>
  </si>
  <si>
    <t>hercegnő</t>
  </si>
  <si>
    <t>p35</t>
  </si>
  <si>
    <t>feat211</t>
  </si>
  <si>
    <t>HOL_MESE</t>
  </si>
  <si>
    <t>feat35</t>
  </si>
  <si>
    <t>RUHA_KI</t>
  </si>
  <si>
    <t>feat248</t>
  </si>
  <si>
    <t>HOL_SZOBA</t>
  </si>
  <si>
    <t>feat36</t>
  </si>
  <si>
    <t>RÉSZE_FEJ</t>
  </si>
  <si>
    <t>játszótér</t>
  </si>
  <si>
    <t>l02</t>
  </si>
  <si>
    <t>feat354</t>
  </si>
  <si>
    <t>HOL_KINT</t>
  </si>
  <si>
    <t>feat122</t>
  </si>
  <si>
    <t>BENNE_BARÁT</t>
  </si>
  <si>
    <t>feat53</t>
  </si>
  <si>
    <t>BENNE_JÁTSZIK</t>
  </si>
  <si>
    <t>feat176</t>
  </si>
  <si>
    <t>HOL_VÁROS</t>
  </si>
  <si>
    <t>feat22</t>
  </si>
  <si>
    <t>LEHET_MEGY</t>
  </si>
  <si>
    <t>feat123</t>
  </si>
  <si>
    <t>BENNE_JÁTÉK</t>
  </si>
  <si>
    <t>kacsa</t>
  </si>
  <si>
    <t>a05</t>
  </si>
  <si>
    <t>feat179</t>
  </si>
  <si>
    <t>ILYEN_CUKI</t>
  </si>
  <si>
    <t>feat142</t>
  </si>
  <si>
    <t>RÉSZE_HANG</t>
  </si>
  <si>
    <t>feat72</t>
  </si>
  <si>
    <t>ILYEN_KÉK</t>
  </si>
  <si>
    <t>kard</t>
  </si>
  <si>
    <t>ty12</t>
  </si>
  <si>
    <t>feat113</t>
  </si>
  <si>
    <t>HOL_RÉGEN</t>
  </si>
  <si>
    <t>feat25</t>
  </si>
  <si>
    <t>ILYEN_HOSSZÚ</t>
  </si>
  <si>
    <t>feat307</t>
  </si>
  <si>
    <t>LEHET_VÁG</t>
  </si>
  <si>
    <t>krumpli</t>
  </si>
  <si>
    <t>pl22</t>
  </si>
  <si>
    <t>kutya</t>
  </si>
  <si>
    <t>a16</t>
  </si>
  <si>
    <t>feat92</t>
  </si>
  <si>
    <t>RÉSZE_FÜL</t>
  </si>
  <si>
    <t>feat65</t>
  </si>
  <si>
    <t>RÉSZE_ORR</t>
  </si>
  <si>
    <t>feat264</t>
  </si>
  <si>
    <t>TUD_FUT</t>
  </si>
  <si>
    <t>feat13</t>
  </si>
  <si>
    <t>RÉSZE_FAROK</t>
  </si>
  <si>
    <t>kéz</t>
  </si>
  <si>
    <t>b10</t>
  </si>
  <si>
    <t>feat49</t>
  </si>
  <si>
    <t>KI_EMBER</t>
  </si>
  <si>
    <t>feat126</t>
  </si>
  <si>
    <t>HOL_TEST</t>
  </si>
  <si>
    <t>feat11</t>
  </si>
  <si>
    <t>RÉSZE_UJJ</t>
  </si>
  <si>
    <t>outlier elviszi, de amúgy jónak tűnik</t>
  </si>
  <si>
    <t>feat94</t>
  </si>
  <si>
    <t>RÉSZE_KÖRÖM</t>
  </si>
  <si>
    <t>feat64</t>
  </si>
  <si>
    <t>MIBŐL_BŐR</t>
  </si>
  <si>
    <t>feat160</t>
  </si>
  <si>
    <t>LEHET_TESZ</t>
  </si>
  <si>
    <t>feat69</t>
  </si>
  <si>
    <t>EMBER_RÉSZE</t>
  </si>
  <si>
    <t>könyv</t>
  </si>
  <si>
    <t>ty10</t>
  </si>
  <si>
    <t>feat371</t>
  </si>
  <si>
    <t>ILYEN_NÉGYZETALAKÚ</t>
  </si>
  <si>
    <t>feat238</t>
  </si>
  <si>
    <t>ALFAJTA_VASTAG</t>
  </si>
  <si>
    <t>feat228</t>
  </si>
  <si>
    <t>RÉSZE_OLDAL</t>
  </si>
  <si>
    <t>feat88</t>
  </si>
  <si>
    <t>HOL_OTTHON</t>
  </si>
  <si>
    <t>feat149</t>
  </si>
  <si>
    <t>BENNE_ÍRÁS</t>
  </si>
  <si>
    <t>feat18</t>
  </si>
  <si>
    <t>LEHET_OLVAS</t>
  </si>
  <si>
    <t>láb</t>
  </si>
  <si>
    <t>b11</t>
  </si>
  <si>
    <t>feat311</t>
  </si>
  <si>
    <t>RÉSZE_BŐR</t>
  </si>
  <si>
    <t>feat110</t>
  </si>
  <si>
    <t>FAJTA_TESTRÉSZ</t>
  </si>
  <si>
    <t>feat163</t>
  </si>
  <si>
    <t>RÉSZE_COMB</t>
  </si>
  <si>
    <t>feat392</t>
  </si>
  <si>
    <t>RÉSZE_BOKA</t>
  </si>
  <si>
    <t>ló</t>
  </si>
  <si>
    <t>a19</t>
  </si>
  <si>
    <t>feat111</t>
  </si>
  <si>
    <t>HOL_FARM</t>
  </si>
  <si>
    <t>feat116</t>
  </si>
  <si>
    <t>ILYEN_FEKETE</t>
  </si>
  <si>
    <t>feat216</t>
  </si>
  <si>
    <t>ILYEN_SZŐRÖS</t>
  </si>
  <si>
    <t>nadrág</t>
  </si>
  <si>
    <t>c10</t>
  </si>
  <si>
    <t>feat224</t>
  </si>
  <si>
    <t>MIBŐL_SZÖVET</t>
  </si>
  <si>
    <t>feat145</t>
  </si>
  <si>
    <t>RÉSZE_TÉRD</t>
  </si>
  <si>
    <t>feat227</t>
  </si>
  <si>
    <t>RÉSZE_MINTA</t>
  </si>
  <si>
    <t>nappali</t>
  </si>
  <si>
    <t>l12</t>
  </si>
  <si>
    <t>feat398</t>
  </si>
  <si>
    <t>SOK_ABLAK</t>
  </si>
  <si>
    <t>pulóver</t>
  </si>
  <si>
    <t>c28</t>
  </si>
  <si>
    <t>feat298</t>
  </si>
  <si>
    <t xml:space="preserve">ILYEN_SZÍNES </t>
  </si>
  <si>
    <t>feat361</t>
  </si>
  <si>
    <t>HOL_TÉL</t>
  </si>
  <si>
    <t>feat62</t>
  </si>
  <si>
    <t>ILYEN_PUHA</t>
  </si>
  <si>
    <t>feat260</t>
  </si>
  <si>
    <t>MIVEL_VARR</t>
  </si>
  <si>
    <t>seprű</t>
  </si>
  <si>
    <t>t24</t>
  </si>
  <si>
    <t>no better option from the pool - only two frequent features</t>
  </si>
  <si>
    <t>feat118</t>
  </si>
  <si>
    <t>MIBŐL_MŰANYAG</t>
  </si>
  <si>
    <t>feat102</t>
  </si>
  <si>
    <t>LEHET_HASZNÁL</t>
  </si>
  <si>
    <t>szem</t>
  </si>
  <si>
    <t>b02</t>
  </si>
  <si>
    <t>feat61</t>
  </si>
  <si>
    <t>ILYEN_FEHÉR</t>
  </si>
  <si>
    <t>feat304</t>
  </si>
  <si>
    <t>LEHET_NÉZ</t>
  </si>
  <si>
    <t>szőnyeg</t>
  </si>
  <si>
    <t>t20</t>
  </si>
  <si>
    <t>tűzoltó</t>
  </si>
  <si>
    <t>p20</t>
  </si>
  <si>
    <t>feat268</t>
  </si>
  <si>
    <t>TUD_SEGÍT</t>
  </si>
  <si>
    <t>feat270</t>
  </si>
  <si>
    <t>AKCIÓ_VÍZ</t>
  </si>
  <si>
    <t>feat269</t>
  </si>
  <si>
    <t>AKCIÓ_FA</t>
  </si>
  <si>
    <t>feat181</t>
  </si>
  <si>
    <t>ILYEN_FONTOS</t>
  </si>
  <si>
    <t>vonat</t>
  </si>
  <si>
    <t>v04</t>
  </si>
  <si>
    <t>feat43</t>
  </si>
  <si>
    <t>MIBŐL_VAS</t>
  </si>
  <si>
    <t>Feature Pool — Browse All Features Per Concept</t>
  </si>
  <si>
    <t>Sorted by Concept, then Rank_PF (most frequent first). Copy featureno + Feature to the Curation sheet.</t>
  </si>
  <si>
    <t>Rank2</t>
  </si>
  <si>
    <t>CV</t>
  </si>
  <si>
    <t>feat15</t>
  </si>
  <si>
    <t>RÉSZE_SZÁR</t>
  </si>
  <si>
    <t>feat89</t>
  </si>
  <si>
    <t>ILYEN_EHETŐ</t>
  </si>
  <si>
    <t>feat387</t>
  </si>
  <si>
    <t>MÓD_MEGMOS_FOGYASZT</t>
  </si>
  <si>
    <t>feat353</t>
  </si>
  <si>
    <t>HOL_HŰTŐ</t>
  </si>
  <si>
    <t>feat213</t>
  </si>
  <si>
    <t>HOL_ÉTTEREM</t>
  </si>
  <si>
    <t>feat186</t>
  </si>
  <si>
    <t>LESZ_LEVES</t>
  </si>
  <si>
    <t>feat296</t>
  </si>
  <si>
    <t>ILYEN_PICI</t>
  </si>
  <si>
    <t>feat90</t>
  </si>
  <si>
    <t>LEHET_VESZ</t>
  </si>
  <si>
    <t>feat305</t>
  </si>
  <si>
    <t>LEHET_SZED</t>
  </si>
  <si>
    <t>feat314</t>
  </si>
  <si>
    <t>RÉSZE_KÖR</t>
  </si>
  <si>
    <t>feat168</t>
  </si>
  <si>
    <t>RÉSZE_SZÍN</t>
  </si>
  <si>
    <t>feat164</t>
  </si>
  <si>
    <t>RÉSZE_KÜLSŐ</t>
  </si>
  <si>
    <t>feat120</t>
  </si>
  <si>
    <t>RÉSZE_SAROK</t>
  </si>
  <si>
    <t>feat390</t>
  </si>
  <si>
    <t>NEMILYEN_KOSZOS</t>
  </si>
  <si>
    <t>feat194</t>
  </si>
  <si>
    <t>RÉSZE_LYUK</t>
  </si>
  <si>
    <t>feat215</t>
  </si>
  <si>
    <t>ILYEN_SOKSZÍNŰ</t>
  </si>
  <si>
    <t>feat188</t>
  </si>
  <si>
    <t>MIBŐL_CÉRNA</t>
  </si>
  <si>
    <t>feat373</t>
  </si>
  <si>
    <t>ILYEN_SAVANYKÁS</t>
  </si>
  <si>
    <t>feat95</t>
  </si>
  <si>
    <t>RÉSZE_SZEM</t>
  </si>
  <si>
    <t>feat196</t>
  </si>
  <si>
    <t>RÉSZE_SZÁJ</t>
  </si>
  <si>
    <t>feat266</t>
  </si>
  <si>
    <t>TUD_JÁR</t>
  </si>
  <si>
    <t>feat144</t>
  </si>
  <si>
    <t>RÉSZE_TEST</t>
  </si>
  <si>
    <t>feat143</t>
  </si>
  <si>
    <t>RÉSZE_NYAK</t>
  </si>
  <si>
    <t>feat103</t>
  </si>
  <si>
    <t>LEHET_HORD</t>
  </si>
  <si>
    <t>feat325</t>
  </si>
  <si>
    <t>TUD_SÉTÁL</t>
  </si>
  <si>
    <t>feat326</t>
  </si>
  <si>
    <t>TUD_ÜL</t>
  </si>
  <si>
    <t>feat362</t>
  </si>
  <si>
    <t>HOL_ÁLLATKERT</t>
  </si>
  <si>
    <t>feat108</t>
  </si>
  <si>
    <t>TUD_MEGY</t>
  </si>
  <si>
    <t>feat365</t>
  </si>
  <si>
    <t>ILYEN_BOLDOG</t>
  </si>
  <si>
    <t>feat395</t>
  </si>
  <si>
    <t>RÉSZE_HAS</t>
  </si>
  <si>
    <t>feat239</t>
  </si>
  <si>
    <t>ALFAJTA_VÉKONY</t>
  </si>
  <si>
    <t>feat283</t>
  </si>
  <si>
    <t>EMBER_KI</t>
  </si>
  <si>
    <t>feat302</t>
  </si>
  <si>
    <t>LEHET_HÚZ</t>
  </si>
  <si>
    <t>feat382</t>
  </si>
  <si>
    <t>LEHET_MOZOG</t>
  </si>
  <si>
    <t>feat232</t>
  </si>
  <si>
    <t>TUD_ÉL</t>
  </si>
  <si>
    <t>feat256</t>
  </si>
  <si>
    <t>ILYEN_VASTAG</t>
  </si>
  <si>
    <t>feat157</t>
  </si>
  <si>
    <t>LEHET_RAK</t>
  </si>
  <si>
    <t>Curation Progress</t>
  </si>
  <si>
    <t>Items Curated</t>
  </si>
  <si>
    <t>Complete?</t>
  </si>
  <si>
    <t>Curation Sheet Row</t>
  </si>
  <si>
    <t>Row 6–15</t>
  </si>
  <si>
    <t>Row 17–26</t>
  </si>
  <si>
    <t>Row 28–37</t>
  </si>
  <si>
    <t>Row 39–48</t>
  </si>
  <si>
    <t>Row 50–59</t>
  </si>
  <si>
    <t>Row 61–70</t>
  </si>
  <si>
    <t>Row 72–81</t>
  </si>
  <si>
    <t>Row 83–92</t>
  </si>
  <si>
    <t>Row 94–103</t>
  </si>
  <si>
    <t>Row 105–114</t>
  </si>
  <si>
    <t>Row 116–125</t>
  </si>
  <si>
    <t>Row 127–136</t>
  </si>
  <si>
    <t>Row 138–147</t>
  </si>
  <si>
    <t>Row 149–158</t>
  </si>
  <si>
    <t>Row 160–169</t>
  </si>
  <si>
    <t>Row 171–180</t>
  </si>
  <si>
    <t>Row 182–191</t>
  </si>
  <si>
    <t>Row 193–202</t>
  </si>
  <si>
    <t>Row 204–213</t>
  </si>
  <si>
    <t>Row 215–224</t>
  </si>
  <si>
    <t>Row 226–235</t>
  </si>
  <si>
    <t>Row 237–246</t>
  </si>
  <si>
    <t>Row 248–257</t>
  </si>
  <si>
    <t>Row 259–268</t>
  </si>
  <si>
    <t>Row 270–279</t>
  </si>
  <si>
    <t>Row 281–290</t>
  </si>
  <si>
    <t>Row 292–301</t>
  </si>
  <si>
    <t>Row 303–312</t>
  </si>
  <si>
    <t>Row 314–323</t>
  </si>
  <si>
    <t>Row 325–334</t>
  </si>
  <si>
    <t>Total completed:</t>
  </si>
  <si>
    <t>FeatureNo</t>
  </si>
  <si>
    <t>Frequency</t>
  </si>
  <si>
    <t>Concepts</t>
  </si>
  <si>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</si>
  <si>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</si>
  <si>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</si>
  <si>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</si>
  <si>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</si>
  <si>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</si>
  <si>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</si>
  <si>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</si>
  <si>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</si>
  <si>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</si>
  <si>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Bin</t>
  </si>
  <si>
    <t>Trialno</t>
  </si>
  <si>
    <t>ConceptNo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</si>
</sst>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4"/>
      <color rgb="FF01696F"/>
      <name val="Calibri"/>
      <family val="2"/>
    </font>
    <font>
      <b/>
      <sz val="11"/>
      <color rgb="FF01696F"/>
      <name val="Calibri"/>
      <family val="2"/>
    </font>
    <font>
      <i/>
      <sz val="10"/>
      <color rgb="FF7A7974"/>
      <name val="Calibri"/>
      <family val="2"/>
    </font>
    <font>
      <sz val="10"/>
      <color rgb="FF28251D"/>
      <name val="Calibri"/>
      <family val="2"/>
    </font>
    <font>
      <b/>
      <sz val="11"/>
      <color rgb="FFFFFFFF"/>
      <name val="Calibri"/>
      <family val="2"/>
    </font>
    <font>
      <b/>
      <sz val="11"/>
      <color rgb="FF28251D"/>
      <name val="Calibri"/>
      <family val="2"/>
    </font>
    <font>
      <sz val="11"/>
      <color rgb="FF28251D"/>
      <name val="Calibri"/>
      <family val="2"/>
    </font>
    <font>
      <sz val="11"/>
      <color rgb="FF7A7974"/>
      <name val="Calibri"/>
      <family val="2"/>
    </font>
    <font>
      <u/>
      <sz val="11"/>
      <color rgb="FF006494"/>
      <name val="Calibri"/>
      <family val="2"/>
    </font>
    <font>
      <b/>
      <sz val="11"/>
      <name val="Calibri"/>
      <family val="2"/>
    </font>
    <font>
      <sz val="11"/>
      <color rgb="FF28251D"/>
      <name val="Calibri"/>
      <family val="2"/>
      <charset val="1"/>
    </font>
    <font>
      <sz val="11"/>
      <color rgb="FF242424"/>
      <name val="Aptos Narrow"/>
    </font>
    <font>
      <sz val="11"/>
      <color rgb="FF7A7974"/>
      <name val="Calibri"/>
      <family val="2"/>
      <charset val="1"/>
    </font>
    <font>
      <sz val="11"/>
      <color theme="1" tint="0.499984740745262"/>
      <name val="Calibri"/>
      <family val="2"/>
    </font>
    <font>
      <sz val="11"/>
      <color theme="1" tint="0.499984740745262"/>
      <name val="Calibri"/>
      <family val="2"/>
      <charset val="1"/>
    </font>
    <font>
      <b/>
      <sz val="11"/>
      <color theme="0"/>
      <name val="Calibri"/>
      <family val="2"/>
      <charset val="1"/>
    </font>
    <font>
      <sz val="8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1696F"/>
        <bgColor rgb="FF006494"/>
      </patternFill>
    </fill>
    <fill>
      <patternFill patternType="solid">
        <fgColor rgb="FFFFFFFF"/>
        <bgColor rgb="FFFFF3CD"/>
      </patternFill>
    </fill>
    <fill>
      <patternFill patternType="solid">
        <fgColor rgb="FFD6EFEF"/>
        <bgColor rgb="FFCCFFFF"/>
      </patternFill>
    </fill>
    <fill>
      <patternFill patternType="solid">
        <fgColor rgb="FFC8E6C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indent="1"/>
    </xf>
    <xf numFmtId="0" fontId="8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indent="1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1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 indent="1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indent="1"/>
    </xf>
    <xf numFmtId="0" fontId="12" fillId="0" borderId="0" xfId="0" applyFont="1"/>
    <xf numFmtId="0" fontId="6" fillId="6" borderId="1" xfId="0" applyFont="1" applyFill="1" applyBorder="1" applyAlignment="1">
      <alignment horizontal="left" vertical="center" indent="1"/>
    </xf>
    <xf numFmtId="0" fontId="7" fillId="6" borderId="1" xfId="0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indent="1"/>
    </xf>
    <xf numFmtId="0" fontId="8" fillId="5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 indent="1"/>
    </xf>
    <xf numFmtId="0" fontId="14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 indent="1"/>
    </xf>
    <xf numFmtId="0" fontId="16" fillId="8" borderId="3" xfId="0" applyFont="1" applyFill="1" applyBorder="1"/>
    <xf numFmtId="0" fontId="16" fillId="8" borderId="2" xfId="0" applyFont="1" applyFill="1" applyBorder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16">
    <dxf>
      <fill>
        <patternFill>
          <bgColor rgb="FFFFF3CD"/>
        </patternFill>
      </fill>
    </dxf>
    <dxf>
      <fill>
        <patternFill>
          <bgColor rgb="FFC8E6C9"/>
        </patternFill>
      </fill>
    </dxf>
    <dxf>
      <fill>
        <patternFill>
          <bgColor rgb="FFC8E6C9"/>
        </patternFill>
      </fill>
    </dxf>
    <dxf>
      <fill>
        <patternFill>
          <bgColor rgb="FFC8E6C9"/>
        </patternFill>
      </fill>
    </dxf>
    <dxf>
      <fill>
        <patternFill>
          <bgColor rgb="FFC8E6C9"/>
        </patternFill>
      </fill>
    </dxf>
    <dxf>
      <fill>
        <patternFill>
          <bgColor rgb="FFC8E6C9"/>
        </patternFill>
      </fill>
    </dxf>
    <dxf>
      <fill>
        <patternFill>
          <bgColor rgb="FFC8E6C9"/>
        </patternFill>
      </fill>
    </dxf>
    <dxf>
      <fill>
        <patternFill>
          <bgColor rgb="FFC8E6C9"/>
        </patternFill>
      </fill>
    </dxf>
    <dxf>
      <fill>
        <patternFill>
          <bgColor rgb="FFC8E6C9"/>
        </patternFill>
      </fill>
    </dxf>
    <dxf>
      <fill>
        <patternFill>
          <bgColor rgb="FFC8E6C9"/>
        </patternFill>
      </fill>
    </dxf>
    <dxf>
      <fill>
        <patternFill>
          <bgColor rgb="FFC8E6C9"/>
        </patternFill>
      </fill>
    </dxf>
    <dxf>
      <fill>
        <patternFill>
          <bgColor rgb="FFC8E6C9"/>
        </patternFill>
      </fill>
    </dxf>
    <dxf>
      <fill>
        <patternFill>
          <bgColor rgb="FFC8E6C9"/>
        </patternFill>
      </fill>
    </dxf>
    <dxf>
      <fill>
        <patternFill>
          <bgColor rgb="FFC8E6C9"/>
        </patternFill>
      </fill>
    </dxf>
    <dxf>
      <fill>
        <patternFill>
          <bgColor rgb="FFC8E6C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51D"/>
        <name val="Calibri"/>
        <family val="2"/>
        <scheme val="none"/>
      </font>
      <fill>
        <patternFill patternType="solid">
          <fgColor rgb="FFCCFFFF"/>
          <bgColor rgb="FFD6EFE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4D1CA"/>
        </left>
        <right style="thin">
          <color rgb="FFD4D1CA"/>
        </right>
        <top style="thin">
          <color rgb="FFD4D1CA"/>
        </top>
        <bottom style="thin">
          <color rgb="FFD4D1CA"/>
        </bottom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D4D1CA"/>
      <rgbColor rgb="FF7A7974"/>
      <rgbColor rgb="FF9999FF"/>
      <rgbColor rgb="FF993366"/>
      <rgbColor rgb="FFFFF3CD"/>
      <rgbColor rgb="FFD6EFEF"/>
      <rgbColor rgb="FF660066"/>
      <rgbColor rgb="FFFF8080"/>
      <rgbColor rgb="FF006494"/>
      <rgbColor rgb="FFCCCCFF"/>
      <rgbColor rgb="FF000080"/>
      <rgbColor rgb="FFFF00FF"/>
      <rgbColor rgb="FFFFFF00"/>
      <rgbColor rgb="FF00FFFF"/>
      <rgbColor rgb="FF800080"/>
      <rgbColor rgb="FF800000"/>
      <rgbColor rgb="FF01696F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37A22"/>
      <rgbColor rgb="FF003300"/>
      <rgbColor rgb="FF333300"/>
      <rgbColor rgb="FF993300"/>
      <rgbColor rgb="FF993366"/>
      <rgbColor rgb="FF333399"/>
      <rgbColor rgb="FF28251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hu-HU"/>
              <a:t>Frequency</a:t>
            </a:r>
            <a:r>
              <a:rPr lang="hu-HU" baseline="0"/>
              <a:t> histograms per cocnept (dark - low freq., light - high freq.)</a:t>
            </a:r>
            <a:endParaRPr lang="en-US"/>
          </a:p>
        </c:rich>
      </c:tx>
      <c:layout>
        <c:manualLayout>
          <c:xMode val="edge"/>
          <c:yMode val="edge"/>
          <c:x val="0.3373857623857624"/>
          <c:y val="5.36939484677090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1669753402036867E-2"/>
          <c:y val="0.20967924784049882"/>
          <c:w val="0.98171648998420658"/>
          <c:h val="0.7191225216566239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Viz!$F$34:$AJ$34</c15:sqref>
                  </c15:fullRef>
                </c:ext>
              </c:extLst>
              <c:f>Viz!$G$34:$AJ$34</c:f>
              <c:strCache>
                <c:ptCount val="30"/>
                <c:pt idx="0">
                  <c:v>alma</c:v>
                </c:pt>
                <c:pt idx="1">
                  <c:v>asztal</c:v>
                </c:pt>
                <c:pt idx="2">
                  <c:v>autó</c:v>
                </c:pt>
                <c:pt idx="3">
                  <c:v>bab</c:v>
                </c:pt>
                <c:pt idx="4">
                  <c:v>ceruza</c:v>
                </c:pt>
                <c:pt idx="5">
                  <c:v>cipő</c:v>
                </c:pt>
                <c:pt idx="6">
                  <c:v>citrom</c:v>
                </c:pt>
                <c:pt idx="7">
                  <c:v>eper</c:v>
                </c:pt>
                <c:pt idx="8">
                  <c:v>erdő</c:v>
                </c:pt>
                <c:pt idx="9">
                  <c:v>gomba</c:v>
                </c:pt>
                <c:pt idx="10">
                  <c:v>gyerek</c:v>
                </c:pt>
                <c:pt idx="11">
                  <c:v>helikopter</c:v>
                </c:pt>
                <c:pt idx="12">
                  <c:v>hercegnő</c:v>
                </c:pt>
                <c:pt idx="13">
                  <c:v>játszótér</c:v>
                </c:pt>
                <c:pt idx="14">
                  <c:v>kacsa</c:v>
                </c:pt>
                <c:pt idx="15">
                  <c:v>kard</c:v>
                </c:pt>
                <c:pt idx="16">
                  <c:v>kéz</c:v>
                </c:pt>
                <c:pt idx="17">
                  <c:v>könyv</c:v>
                </c:pt>
                <c:pt idx="18">
                  <c:v>krumpli</c:v>
                </c:pt>
                <c:pt idx="19">
                  <c:v>kutya</c:v>
                </c:pt>
                <c:pt idx="20">
                  <c:v>láb</c:v>
                </c:pt>
                <c:pt idx="21">
                  <c:v>ló</c:v>
                </c:pt>
                <c:pt idx="22">
                  <c:v>nadrág</c:v>
                </c:pt>
                <c:pt idx="23">
                  <c:v>nappali</c:v>
                </c:pt>
                <c:pt idx="24">
                  <c:v>pulóver</c:v>
                </c:pt>
                <c:pt idx="25">
                  <c:v>seprű</c:v>
                </c:pt>
                <c:pt idx="26">
                  <c:v>szem</c:v>
                </c:pt>
                <c:pt idx="27">
                  <c:v>szőnyeg</c:v>
                </c:pt>
                <c:pt idx="28">
                  <c:v>tűzoltó</c:v>
                </c:pt>
                <c:pt idx="29">
                  <c:v>vonat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Viz!$F$35:$AJ$35</c15:sqref>
                  </c15:fullRef>
                </c:ext>
              </c:extLst>
              <c:f>Viz!$G$35:$AJ$35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6</c:v>
                </c:pt>
                <c:pt idx="10">
                  <c:v>3</c:v>
                </c:pt>
                <c:pt idx="11">
                  <c:v>7</c:v>
                </c:pt>
                <c:pt idx="12">
                  <c:v>6</c:v>
                </c:pt>
                <c:pt idx="13">
                  <c:v>7</c:v>
                </c:pt>
                <c:pt idx="14">
                  <c:v>4</c:v>
                </c:pt>
                <c:pt idx="15">
                  <c:v>5</c:v>
                </c:pt>
                <c:pt idx="16">
                  <c:v>7</c:v>
                </c:pt>
                <c:pt idx="17">
                  <c:v>8</c:v>
                </c:pt>
                <c:pt idx="18">
                  <c:v>5</c:v>
                </c:pt>
                <c:pt idx="19">
                  <c:v>2</c:v>
                </c:pt>
                <c:pt idx="20">
                  <c:v>6</c:v>
                </c:pt>
                <c:pt idx="21">
                  <c:v>5</c:v>
                </c:pt>
                <c:pt idx="22">
                  <c:v>6</c:v>
                </c:pt>
                <c:pt idx="23">
                  <c:v>5</c:v>
                </c:pt>
                <c:pt idx="24">
                  <c:v>1</c:v>
                </c:pt>
                <c:pt idx="25">
                  <c:v>8</c:v>
                </c:pt>
                <c:pt idx="26">
                  <c:v>4</c:v>
                </c:pt>
                <c:pt idx="27">
                  <c:v>6</c:v>
                </c:pt>
                <c:pt idx="28">
                  <c:v>4</c:v>
                </c:pt>
                <c:pt idx="2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1-4B24-A745-3E33AD98912B}"/>
            </c:ext>
          </c:extLst>
        </c:ser>
        <c:ser>
          <c:idx val="1"/>
          <c:order val="1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Viz!$F$34:$AJ$34</c15:sqref>
                  </c15:fullRef>
                </c:ext>
              </c:extLst>
              <c:f>Viz!$G$34:$AJ$34</c:f>
              <c:strCache>
                <c:ptCount val="30"/>
                <c:pt idx="0">
                  <c:v>alma</c:v>
                </c:pt>
                <c:pt idx="1">
                  <c:v>asztal</c:v>
                </c:pt>
                <c:pt idx="2">
                  <c:v>autó</c:v>
                </c:pt>
                <c:pt idx="3">
                  <c:v>bab</c:v>
                </c:pt>
                <c:pt idx="4">
                  <c:v>ceruza</c:v>
                </c:pt>
                <c:pt idx="5">
                  <c:v>cipő</c:v>
                </c:pt>
                <c:pt idx="6">
                  <c:v>citrom</c:v>
                </c:pt>
                <c:pt idx="7">
                  <c:v>eper</c:v>
                </c:pt>
                <c:pt idx="8">
                  <c:v>erdő</c:v>
                </c:pt>
                <c:pt idx="9">
                  <c:v>gomba</c:v>
                </c:pt>
                <c:pt idx="10">
                  <c:v>gyerek</c:v>
                </c:pt>
                <c:pt idx="11">
                  <c:v>helikopter</c:v>
                </c:pt>
                <c:pt idx="12">
                  <c:v>hercegnő</c:v>
                </c:pt>
                <c:pt idx="13">
                  <c:v>játszótér</c:v>
                </c:pt>
                <c:pt idx="14">
                  <c:v>kacsa</c:v>
                </c:pt>
                <c:pt idx="15">
                  <c:v>kard</c:v>
                </c:pt>
                <c:pt idx="16">
                  <c:v>kéz</c:v>
                </c:pt>
                <c:pt idx="17">
                  <c:v>könyv</c:v>
                </c:pt>
                <c:pt idx="18">
                  <c:v>krumpli</c:v>
                </c:pt>
                <c:pt idx="19">
                  <c:v>kutya</c:v>
                </c:pt>
                <c:pt idx="20">
                  <c:v>láb</c:v>
                </c:pt>
                <c:pt idx="21">
                  <c:v>ló</c:v>
                </c:pt>
                <c:pt idx="22">
                  <c:v>nadrág</c:v>
                </c:pt>
                <c:pt idx="23">
                  <c:v>nappali</c:v>
                </c:pt>
                <c:pt idx="24">
                  <c:v>pulóver</c:v>
                </c:pt>
                <c:pt idx="25">
                  <c:v>seprű</c:v>
                </c:pt>
                <c:pt idx="26">
                  <c:v>szem</c:v>
                </c:pt>
                <c:pt idx="27">
                  <c:v>szőnyeg</c:v>
                </c:pt>
                <c:pt idx="28">
                  <c:v>tűzoltó</c:v>
                </c:pt>
                <c:pt idx="29">
                  <c:v>vonat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Viz!$F$36:$AJ$36</c15:sqref>
                  </c15:fullRef>
                </c:ext>
              </c:extLst>
              <c:f>Viz!$G$36:$AJ$36</c:f>
              <c:numCache>
                <c:formatCode>General</c:formatCode>
                <c:ptCount val="3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0</c:v>
                </c:pt>
                <c:pt idx="8">
                  <c:v>4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  <c:pt idx="12">
                  <c:v>3</c:v>
                </c:pt>
                <c:pt idx="13">
                  <c:v>0</c:v>
                </c:pt>
                <c:pt idx="14">
                  <c:v>1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4</c:v>
                </c:pt>
                <c:pt idx="20">
                  <c:v>1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4</c:v>
                </c:pt>
                <c:pt idx="25">
                  <c:v>0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61-4B24-A745-3E33AD98912B}"/>
            </c:ext>
          </c:extLst>
        </c:ser>
        <c:ser>
          <c:idx val="2"/>
          <c:order val="2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Viz!$F$34:$AJ$34</c15:sqref>
                  </c15:fullRef>
                </c:ext>
              </c:extLst>
              <c:f>Viz!$G$34:$AJ$34</c:f>
              <c:strCache>
                <c:ptCount val="30"/>
                <c:pt idx="0">
                  <c:v>alma</c:v>
                </c:pt>
                <c:pt idx="1">
                  <c:v>asztal</c:v>
                </c:pt>
                <c:pt idx="2">
                  <c:v>autó</c:v>
                </c:pt>
                <c:pt idx="3">
                  <c:v>bab</c:v>
                </c:pt>
                <c:pt idx="4">
                  <c:v>ceruza</c:v>
                </c:pt>
                <c:pt idx="5">
                  <c:v>cipő</c:v>
                </c:pt>
                <c:pt idx="6">
                  <c:v>citrom</c:v>
                </c:pt>
                <c:pt idx="7">
                  <c:v>eper</c:v>
                </c:pt>
                <c:pt idx="8">
                  <c:v>erdő</c:v>
                </c:pt>
                <c:pt idx="9">
                  <c:v>gomba</c:v>
                </c:pt>
                <c:pt idx="10">
                  <c:v>gyerek</c:v>
                </c:pt>
                <c:pt idx="11">
                  <c:v>helikopter</c:v>
                </c:pt>
                <c:pt idx="12">
                  <c:v>hercegnő</c:v>
                </c:pt>
                <c:pt idx="13">
                  <c:v>játszótér</c:v>
                </c:pt>
                <c:pt idx="14">
                  <c:v>kacsa</c:v>
                </c:pt>
                <c:pt idx="15">
                  <c:v>kard</c:v>
                </c:pt>
                <c:pt idx="16">
                  <c:v>kéz</c:v>
                </c:pt>
                <c:pt idx="17">
                  <c:v>könyv</c:v>
                </c:pt>
                <c:pt idx="18">
                  <c:v>krumpli</c:v>
                </c:pt>
                <c:pt idx="19">
                  <c:v>kutya</c:v>
                </c:pt>
                <c:pt idx="20">
                  <c:v>láb</c:v>
                </c:pt>
                <c:pt idx="21">
                  <c:v>ló</c:v>
                </c:pt>
                <c:pt idx="22">
                  <c:v>nadrág</c:v>
                </c:pt>
                <c:pt idx="23">
                  <c:v>nappali</c:v>
                </c:pt>
                <c:pt idx="24">
                  <c:v>pulóver</c:v>
                </c:pt>
                <c:pt idx="25">
                  <c:v>seprű</c:v>
                </c:pt>
                <c:pt idx="26">
                  <c:v>szem</c:v>
                </c:pt>
                <c:pt idx="27">
                  <c:v>szőnyeg</c:v>
                </c:pt>
                <c:pt idx="28">
                  <c:v>tűzoltó</c:v>
                </c:pt>
                <c:pt idx="29">
                  <c:v>vonat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Viz!$F$37:$AJ$37</c15:sqref>
                  </c15:fullRef>
                </c:ext>
              </c:extLst>
              <c:f>Viz!$G$37:$AJ$37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2</c:v>
                </c:pt>
                <c:pt idx="28">
                  <c:v>0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61-4B24-A745-3E33AD98912B}"/>
            </c:ext>
          </c:extLst>
        </c:ser>
        <c:ser>
          <c:idx val="3"/>
          <c:order val="3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Viz!$F$34:$AJ$34</c15:sqref>
                  </c15:fullRef>
                </c:ext>
              </c:extLst>
              <c:f>Viz!$G$34:$AJ$34</c:f>
              <c:strCache>
                <c:ptCount val="30"/>
                <c:pt idx="0">
                  <c:v>alma</c:v>
                </c:pt>
                <c:pt idx="1">
                  <c:v>asztal</c:v>
                </c:pt>
                <c:pt idx="2">
                  <c:v>autó</c:v>
                </c:pt>
                <c:pt idx="3">
                  <c:v>bab</c:v>
                </c:pt>
                <c:pt idx="4">
                  <c:v>ceruza</c:v>
                </c:pt>
                <c:pt idx="5">
                  <c:v>cipő</c:v>
                </c:pt>
                <c:pt idx="6">
                  <c:v>citrom</c:v>
                </c:pt>
                <c:pt idx="7">
                  <c:v>eper</c:v>
                </c:pt>
                <c:pt idx="8">
                  <c:v>erdő</c:v>
                </c:pt>
                <c:pt idx="9">
                  <c:v>gomba</c:v>
                </c:pt>
                <c:pt idx="10">
                  <c:v>gyerek</c:v>
                </c:pt>
                <c:pt idx="11">
                  <c:v>helikopter</c:v>
                </c:pt>
                <c:pt idx="12">
                  <c:v>hercegnő</c:v>
                </c:pt>
                <c:pt idx="13">
                  <c:v>játszótér</c:v>
                </c:pt>
                <c:pt idx="14">
                  <c:v>kacsa</c:v>
                </c:pt>
                <c:pt idx="15">
                  <c:v>kard</c:v>
                </c:pt>
                <c:pt idx="16">
                  <c:v>kéz</c:v>
                </c:pt>
                <c:pt idx="17">
                  <c:v>könyv</c:v>
                </c:pt>
                <c:pt idx="18">
                  <c:v>krumpli</c:v>
                </c:pt>
                <c:pt idx="19">
                  <c:v>kutya</c:v>
                </c:pt>
                <c:pt idx="20">
                  <c:v>láb</c:v>
                </c:pt>
                <c:pt idx="21">
                  <c:v>ló</c:v>
                </c:pt>
                <c:pt idx="22">
                  <c:v>nadrág</c:v>
                </c:pt>
                <c:pt idx="23">
                  <c:v>nappali</c:v>
                </c:pt>
                <c:pt idx="24">
                  <c:v>pulóver</c:v>
                </c:pt>
                <c:pt idx="25">
                  <c:v>seprű</c:v>
                </c:pt>
                <c:pt idx="26">
                  <c:v>szem</c:v>
                </c:pt>
                <c:pt idx="27">
                  <c:v>szőnyeg</c:v>
                </c:pt>
                <c:pt idx="28">
                  <c:v>tűzoltó</c:v>
                </c:pt>
                <c:pt idx="29">
                  <c:v>vonat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Viz!$F$38:$AJ$38</c15:sqref>
                  </c15:fullRef>
                </c:ext>
              </c:extLst>
              <c:f>Viz!$G$38:$AJ$38</c:f>
              <c:numCache>
                <c:formatCode>General</c:formatCode>
                <c:ptCount val="30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4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61-4B24-A745-3E33AD98912B}"/>
            </c:ext>
          </c:extLst>
        </c:ser>
        <c:ser>
          <c:idx val="4"/>
          <c:order val="4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Viz!$F$34:$AJ$34</c15:sqref>
                  </c15:fullRef>
                </c:ext>
              </c:extLst>
              <c:f>Viz!$G$34:$AJ$34</c:f>
              <c:strCache>
                <c:ptCount val="30"/>
                <c:pt idx="0">
                  <c:v>alma</c:v>
                </c:pt>
                <c:pt idx="1">
                  <c:v>asztal</c:v>
                </c:pt>
                <c:pt idx="2">
                  <c:v>autó</c:v>
                </c:pt>
                <c:pt idx="3">
                  <c:v>bab</c:v>
                </c:pt>
                <c:pt idx="4">
                  <c:v>ceruza</c:v>
                </c:pt>
                <c:pt idx="5">
                  <c:v>cipő</c:v>
                </c:pt>
                <c:pt idx="6">
                  <c:v>citrom</c:v>
                </c:pt>
                <c:pt idx="7">
                  <c:v>eper</c:v>
                </c:pt>
                <c:pt idx="8">
                  <c:v>erdő</c:v>
                </c:pt>
                <c:pt idx="9">
                  <c:v>gomba</c:v>
                </c:pt>
                <c:pt idx="10">
                  <c:v>gyerek</c:v>
                </c:pt>
                <c:pt idx="11">
                  <c:v>helikopter</c:v>
                </c:pt>
                <c:pt idx="12">
                  <c:v>hercegnő</c:v>
                </c:pt>
                <c:pt idx="13">
                  <c:v>játszótér</c:v>
                </c:pt>
                <c:pt idx="14">
                  <c:v>kacsa</c:v>
                </c:pt>
                <c:pt idx="15">
                  <c:v>kard</c:v>
                </c:pt>
                <c:pt idx="16">
                  <c:v>kéz</c:v>
                </c:pt>
                <c:pt idx="17">
                  <c:v>könyv</c:v>
                </c:pt>
                <c:pt idx="18">
                  <c:v>krumpli</c:v>
                </c:pt>
                <c:pt idx="19">
                  <c:v>kutya</c:v>
                </c:pt>
                <c:pt idx="20">
                  <c:v>láb</c:v>
                </c:pt>
                <c:pt idx="21">
                  <c:v>ló</c:v>
                </c:pt>
                <c:pt idx="22">
                  <c:v>nadrág</c:v>
                </c:pt>
                <c:pt idx="23">
                  <c:v>nappali</c:v>
                </c:pt>
                <c:pt idx="24">
                  <c:v>pulóver</c:v>
                </c:pt>
                <c:pt idx="25">
                  <c:v>seprű</c:v>
                </c:pt>
                <c:pt idx="26">
                  <c:v>szem</c:v>
                </c:pt>
                <c:pt idx="27">
                  <c:v>szőnyeg</c:v>
                </c:pt>
                <c:pt idx="28">
                  <c:v>tűzoltó</c:v>
                </c:pt>
                <c:pt idx="29">
                  <c:v>vonat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Viz!$F$39:$AJ$39</c15:sqref>
                  </c15:fullRef>
                </c:ext>
              </c:extLst>
              <c:f>Viz!$G$39:$AJ$39</c:f>
              <c:numCache>
                <c:formatCode>General</c:formatCode>
                <c:ptCount val="30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3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61-4B24-A745-3E33AD989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758014112"/>
        <c:axId val="758011232"/>
      </c:barChart>
      <c:catAx>
        <c:axId val="75801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011232"/>
        <c:crosses val="autoZero"/>
        <c:auto val="1"/>
        <c:lblAlgn val="ctr"/>
        <c:lblOffset val="100"/>
        <c:noMultiLvlLbl val="0"/>
      </c:catAx>
      <c:valAx>
        <c:axId val="75801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01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hu-HU"/>
              <a:t>Distinctivity histogram per concept (dark - low dist., light - high dist.)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Viz!$F$43:$AJ$43</c:f>
              <c:strCache>
                <c:ptCount val="31"/>
                <c:pt idx="0">
                  <c:v>Bin</c:v>
                </c:pt>
                <c:pt idx="1">
                  <c:v>alma</c:v>
                </c:pt>
                <c:pt idx="2">
                  <c:v>asztal</c:v>
                </c:pt>
                <c:pt idx="3">
                  <c:v>autó</c:v>
                </c:pt>
                <c:pt idx="4">
                  <c:v>bab</c:v>
                </c:pt>
                <c:pt idx="5">
                  <c:v>ceruza</c:v>
                </c:pt>
                <c:pt idx="6">
                  <c:v>cipő</c:v>
                </c:pt>
                <c:pt idx="7">
                  <c:v>citrom</c:v>
                </c:pt>
                <c:pt idx="8">
                  <c:v>eper</c:v>
                </c:pt>
                <c:pt idx="9">
                  <c:v>erdő</c:v>
                </c:pt>
                <c:pt idx="10">
                  <c:v>gomba</c:v>
                </c:pt>
                <c:pt idx="11">
                  <c:v>gyerek</c:v>
                </c:pt>
                <c:pt idx="12">
                  <c:v>helikopter</c:v>
                </c:pt>
                <c:pt idx="13">
                  <c:v>hercegnő</c:v>
                </c:pt>
                <c:pt idx="14">
                  <c:v>játszótér</c:v>
                </c:pt>
                <c:pt idx="15">
                  <c:v>kacsa</c:v>
                </c:pt>
                <c:pt idx="16">
                  <c:v>kard</c:v>
                </c:pt>
                <c:pt idx="17">
                  <c:v>kéz</c:v>
                </c:pt>
                <c:pt idx="18">
                  <c:v>könyv</c:v>
                </c:pt>
                <c:pt idx="19">
                  <c:v>krumpli</c:v>
                </c:pt>
                <c:pt idx="20">
                  <c:v>kutya</c:v>
                </c:pt>
                <c:pt idx="21">
                  <c:v>láb</c:v>
                </c:pt>
                <c:pt idx="22">
                  <c:v>ló</c:v>
                </c:pt>
                <c:pt idx="23">
                  <c:v>nadrág</c:v>
                </c:pt>
                <c:pt idx="24">
                  <c:v>nappali</c:v>
                </c:pt>
                <c:pt idx="25">
                  <c:v>pulóver</c:v>
                </c:pt>
                <c:pt idx="26">
                  <c:v>seprű</c:v>
                </c:pt>
                <c:pt idx="27">
                  <c:v>szem</c:v>
                </c:pt>
                <c:pt idx="28">
                  <c:v>szőnyeg</c:v>
                </c:pt>
                <c:pt idx="29">
                  <c:v>tűzoltó</c:v>
                </c:pt>
                <c:pt idx="30">
                  <c:v>vonat</c:v>
                </c:pt>
              </c:strCache>
            </c:strRef>
          </c:cat>
          <c:val>
            <c:numRef>
              <c:f>Viz!$F$44:$AJ$44</c:f>
              <c:numCache>
                <c:formatCode>General</c:formatCode>
                <c:ptCount val="31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6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5</c:v>
                </c:pt>
                <c:pt idx="9">
                  <c:v>2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6</c:v>
                </c:pt>
                <c:pt idx="27">
                  <c:v>5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6-45CF-BD9D-2B0D223A22A2}"/>
            </c:ext>
          </c:extLst>
        </c:ser>
        <c:ser>
          <c:idx val="1"/>
          <c:order val="1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Viz!$F$43:$AJ$43</c:f>
              <c:strCache>
                <c:ptCount val="31"/>
                <c:pt idx="0">
                  <c:v>Bin</c:v>
                </c:pt>
                <c:pt idx="1">
                  <c:v>alma</c:v>
                </c:pt>
                <c:pt idx="2">
                  <c:v>asztal</c:v>
                </c:pt>
                <c:pt idx="3">
                  <c:v>autó</c:v>
                </c:pt>
                <c:pt idx="4">
                  <c:v>bab</c:v>
                </c:pt>
                <c:pt idx="5">
                  <c:v>ceruza</c:v>
                </c:pt>
                <c:pt idx="6">
                  <c:v>cipő</c:v>
                </c:pt>
                <c:pt idx="7">
                  <c:v>citrom</c:v>
                </c:pt>
                <c:pt idx="8">
                  <c:v>eper</c:v>
                </c:pt>
                <c:pt idx="9">
                  <c:v>erdő</c:v>
                </c:pt>
                <c:pt idx="10">
                  <c:v>gomba</c:v>
                </c:pt>
                <c:pt idx="11">
                  <c:v>gyerek</c:v>
                </c:pt>
                <c:pt idx="12">
                  <c:v>helikopter</c:v>
                </c:pt>
                <c:pt idx="13">
                  <c:v>hercegnő</c:v>
                </c:pt>
                <c:pt idx="14">
                  <c:v>játszótér</c:v>
                </c:pt>
                <c:pt idx="15">
                  <c:v>kacsa</c:v>
                </c:pt>
                <c:pt idx="16">
                  <c:v>kard</c:v>
                </c:pt>
                <c:pt idx="17">
                  <c:v>kéz</c:v>
                </c:pt>
                <c:pt idx="18">
                  <c:v>könyv</c:v>
                </c:pt>
                <c:pt idx="19">
                  <c:v>krumpli</c:v>
                </c:pt>
                <c:pt idx="20">
                  <c:v>kutya</c:v>
                </c:pt>
                <c:pt idx="21">
                  <c:v>láb</c:v>
                </c:pt>
                <c:pt idx="22">
                  <c:v>ló</c:v>
                </c:pt>
                <c:pt idx="23">
                  <c:v>nadrág</c:v>
                </c:pt>
                <c:pt idx="24">
                  <c:v>nappali</c:v>
                </c:pt>
                <c:pt idx="25">
                  <c:v>pulóver</c:v>
                </c:pt>
                <c:pt idx="26">
                  <c:v>seprű</c:v>
                </c:pt>
                <c:pt idx="27">
                  <c:v>szem</c:v>
                </c:pt>
                <c:pt idx="28">
                  <c:v>szőnyeg</c:v>
                </c:pt>
                <c:pt idx="29">
                  <c:v>tűzoltó</c:v>
                </c:pt>
                <c:pt idx="30">
                  <c:v>vonat</c:v>
                </c:pt>
              </c:strCache>
            </c:strRef>
          </c:cat>
          <c:val>
            <c:numRef>
              <c:f>Viz!$F$45:$AJ$45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  <c:pt idx="26">
                  <c:v>2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A6-45CF-BD9D-2B0D223A22A2}"/>
            </c:ext>
          </c:extLst>
        </c:ser>
        <c:ser>
          <c:idx val="2"/>
          <c:order val="2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Viz!$F$43:$AJ$43</c:f>
              <c:strCache>
                <c:ptCount val="31"/>
                <c:pt idx="0">
                  <c:v>Bin</c:v>
                </c:pt>
                <c:pt idx="1">
                  <c:v>alma</c:v>
                </c:pt>
                <c:pt idx="2">
                  <c:v>asztal</c:v>
                </c:pt>
                <c:pt idx="3">
                  <c:v>autó</c:v>
                </c:pt>
                <c:pt idx="4">
                  <c:v>bab</c:v>
                </c:pt>
                <c:pt idx="5">
                  <c:v>ceruza</c:v>
                </c:pt>
                <c:pt idx="6">
                  <c:v>cipő</c:v>
                </c:pt>
                <c:pt idx="7">
                  <c:v>citrom</c:v>
                </c:pt>
                <c:pt idx="8">
                  <c:v>eper</c:v>
                </c:pt>
                <c:pt idx="9">
                  <c:v>erdő</c:v>
                </c:pt>
                <c:pt idx="10">
                  <c:v>gomba</c:v>
                </c:pt>
                <c:pt idx="11">
                  <c:v>gyerek</c:v>
                </c:pt>
                <c:pt idx="12">
                  <c:v>helikopter</c:v>
                </c:pt>
                <c:pt idx="13">
                  <c:v>hercegnő</c:v>
                </c:pt>
                <c:pt idx="14">
                  <c:v>játszótér</c:v>
                </c:pt>
                <c:pt idx="15">
                  <c:v>kacsa</c:v>
                </c:pt>
                <c:pt idx="16">
                  <c:v>kard</c:v>
                </c:pt>
                <c:pt idx="17">
                  <c:v>kéz</c:v>
                </c:pt>
                <c:pt idx="18">
                  <c:v>könyv</c:v>
                </c:pt>
                <c:pt idx="19">
                  <c:v>krumpli</c:v>
                </c:pt>
                <c:pt idx="20">
                  <c:v>kutya</c:v>
                </c:pt>
                <c:pt idx="21">
                  <c:v>láb</c:v>
                </c:pt>
                <c:pt idx="22">
                  <c:v>ló</c:v>
                </c:pt>
                <c:pt idx="23">
                  <c:v>nadrág</c:v>
                </c:pt>
                <c:pt idx="24">
                  <c:v>nappali</c:v>
                </c:pt>
                <c:pt idx="25">
                  <c:v>pulóver</c:v>
                </c:pt>
                <c:pt idx="26">
                  <c:v>seprű</c:v>
                </c:pt>
                <c:pt idx="27">
                  <c:v>szem</c:v>
                </c:pt>
                <c:pt idx="28">
                  <c:v>szőnyeg</c:v>
                </c:pt>
                <c:pt idx="29">
                  <c:v>tűzoltó</c:v>
                </c:pt>
                <c:pt idx="30">
                  <c:v>vonat</c:v>
                </c:pt>
              </c:strCache>
            </c:strRef>
          </c:cat>
          <c:val>
            <c:numRef>
              <c:f>Viz!$F$46:$AJ$46</c:f>
              <c:numCache>
                <c:formatCode>General</c:formatCode>
                <c:ptCount val="31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0</c:v>
                </c:pt>
                <c:pt idx="19">
                  <c:v>4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0</c:v>
                </c:pt>
                <c:pt idx="27">
                  <c:v>2</c:v>
                </c:pt>
                <c:pt idx="28">
                  <c:v>3</c:v>
                </c:pt>
                <c:pt idx="29">
                  <c:v>0</c:v>
                </c:pt>
                <c:pt idx="3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A6-45CF-BD9D-2B0D223A22A2}"/>
            </c:ext>
          </c:extLst>
        </c:ser>
        <c:ser>
          <c:idx val="3"/>
          <c:order val="3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Viz!$F$43:$AJ$43</c:f>
              <c:strCache>
                <c:ptCount val="31"/>
                <c:pt idx="0">
                  <c:v>Bin</c:v>
                </c:pt>
                <c:pt idx="1">
                  <c:v>alma</c:v>
                </c:pt>
                <c:pt idx="2">
                  <c:v>asztal</c:v>
                </c:pt>
                <c:pt idx="3">
                  <c:v>autó</c:v>
                </c:pt>
                <c:pt idx="4">
                  <c:v>bab</c:v>
                </c:pt>
                <c:pt idx="5">
                  <c:v>ceruza</c:v>
                </c:pt>
                <c:pt idx="6">
                  <c:v>cipő</c:v>
                </c:pt>
                <c:pt idx="7">
                  <c:v>citrom</c:v>
                </c:pt>
                <c:pt idx="8">
                  <c:v>eper</c:v>
                </c:pt>
                <c:pt idx="9">
                  <c:v>erdő</c:v>
                </c:pt>
                <c:pt idx="10">
                  <c:v>gomba</c:v>
                </c:pt>
                <c:pt idx="11">
                  <c:v>gyerek</c:v>
                </c:pt>
                <c:pt idx="12">
                  <c:v>helikopter</c:v>
                </c:pt>
                <c:pt idx="13">
                  <c:v>hercegnő</c:v>
                </c:pt>
                <c:pt idx="14">
                  <c:v>játszótér</c:v>
                </c:pt>
                <c:pt idx="15">
                  <c:v>kacsa</c:v>
                </c:pt>
                <c:pt idx="16">
                  <c:v>kard</c:v>
                </c:pt>
                <c:pt idx="17">
                  <c:v>kéz</c:v>
                </c:pt>
                <c:pt idx="18">
                  <c:v>könyv</c:v>
                </c:pt>
                <c:pt idx="19">
                  <c:v>krumpli</c:v>
                </c:pt>
                <c:pt idx="20">
                  <c:v>kutya</c:v>
                </c:pt>
                <c:pt idx="21">
                  <c:v>láb</c:v>
                </c:pt>
                <c:pt idx="22">
                  <c:v>ló</c:v>
                </c:pt>
                <c:pt idx="23">
                  <c:v>nadrág</c:v>
                </c:pt>
                <c:pt idx="24">
                  <c:v>nappali</c:v>
                </c:pt>
                <c:pt idx="25">
                  <c:v>pulóver</c:v>
                </c:pt>
                <c:pt idx="26">
                  <c:v>seprű</c:v>
                </c:pt>
                <c:pt idx="27">
                  <c:v>szem</c:v>
                </c:pt>
                <c:pt idx="28">
                  <c:v>szőnyeg</c:v>
                </c:pt>
                <c:pt idx="29">
                  <c:v>tűzoltó</c:v>
                </c:pt>
                <c:pt idx="30">
                  <c:v>vonat</c:v>
                </c:pt>
              </c:strCache>
            </c:strRef>
          </c:cat>
          <c:val>
            <c:numRef>
              <c:f>Viz!$F$47:$AJ$47</c:f>
              <c:numCache>
                <c:formatCode>General</c:formatCode>
                <c:ptCount val="31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A6-45CF-BD9D-2B0D223A22A2}"/>
            </c:ext>
          </c:extLst>
        </c:ser>
        <c:ser>
          <c:idx val="4"/>
          <c:order val="4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strRef>
              <c:f>Viz!$F$43:$AJ$43</c:f>
              <c:strCache>
                <c:ptCount val="31"/>
                <c:pt idx="0">
                  <c:v>Bin</c:v>
                </c:pt>
                <c:pt idx="1">
                  <c:v>alma</c:v>
                </c:pt>
                <c:pt idx="2">
                  <c:v>asztal</c:v>
                </c:pt>
                <c:pt idx="3">
                  <c:v>autó</c:v>
                </c:pt>
                <c:pt idx="4">
                  <c:v>bab</c:v>
                </c:pt>
                <c:pt idx="5">
                  <c:v>ceruza</c:v>
                </c:pt>
                <c:pt idx="6">
                  <c:v>cipő</c:v>
                </c:pt>
                <c:pt idx="7">
                  <c:v>citrom</c:v>
                </c:pt>
                <c:pt idx="8">
                  <c:v>eper</c:v>
                </c:pt>
                <c:pt idx="9">
                  <c:v>erdő</c:v>
                </c:pt>
                <c:pt idx="10">
                  <c:v>gomba</c:v>
                </c:pt>
                <c:pt idx="11">
                  <c:v>gyerek</c:v>
                </c:pt>
                <c:pt idx="12">
                  <c:v>helikopter</c:v>
                </c:pt>
                <c:pt idx="13">
                  <c:v>hercegnő</c:v>
                </c:pt>
                <c:pt idx="14">
                  <c:v>játszótér</c:v>
                </c:pt>
                <c:pt idx="15">
                  <c:v>kacsa</c:v>
                </c:pt>
                <c:pt idx="16">
                  <c:v>kard</c:v>
                </c:pt>
                <c:pt idx="17">
                  <c:v>kéz</c:v>
                </c:pt>
                <c:pt idx="18">
                  <c:v>könyv</c:v>
                </c:pt>
                <c:pt idx="19">
                  <c:v>krumpli</c:v>
                </c:pt>
                <c:pt idx="20">
                  <c:v>kutya</c:v>
                </c:pt>
                <c:pt idx="21">
                  <c:v>láb</c:v>
                </c:pt>
                <c:pt idx="22">
                  <c:v>ló</c:v>
                </c:pt>
                <c:pt idx="23">
                  <c:v>nadrág</c:v>
                </c:pt>
                <c:pt idx="24">
                  <c:v>nappali</c:v>
                </c:pt>
                <c:pt idx="25">
                  <c:v>pulóver</c:v>
                </c:pt>
                <c:pt idx="26">
                  <c:v>seprű</c:v>
                </c:pt>
                <c:pt idx="27">
                  <c:v>szem</c:v>
                </c:pt>
                <c:pt idx="28">
                  <c:v>szőnyeg</c:v>
                </c:pt>
                <c:pt idx="29">
                  <c:v>tűzoltó</c:v>
                </c:pt>
                <c:pt idx="30">
                  <c:v>vonat</c:v>
                </c:pt>
              </c:strCache>
            </c:strRef>
          </c:cat>
          <c:val>
            <c:numRef>
              <c:f>Viz!$F$48:$AJ$48</c:f>
              <c:numCache>
                <c:formatCode>General</c:formatCode>
                <c:ptCount val="31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5</c:v>
                </c:pt>
                <c:pt idx="14">
                  <c:v>5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4</c:v>
                </c:pt>
                <c:pt idx="19">
                  <c:v>1</c:v>
                </c:pt>
                <c:pt idx="20">
                  <c:v>4</c:v>
                </c:pt>
                <c:pt idx="21">
                  <c:v>4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1</c:v>
                </c:pt>
                <c:pt idx="27">
                  <c:v>2</c:v>
                </c:pt>
                <c:pt idx="28">
                  <c:v>2</c:v>
                </c:pt>
                <c:pt idx="29">
                  <c:v>5</c:v>
                </c:pt>
                <c:pt idx="3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A6-45CF-BD9D-2B0D223A2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2074384128"/>
        <c:axId val="2074378848"/>
      </c:barChart>
      <c:catAx>
        <c:axId val="207438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074378848"/>
        <c:crosses val="autoZero"/>
        <c:auto val="1"/>
        <c:lblAlgn val="ctr"/>
        <c:lblOffset val="100"/>
        <c:noMultiLvlLbl val="0"/>
      </c:catAx>
      <c:valAx>
        <c:axId val="207437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07438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474798</xdr:colOff>
      <xdr:row>51</xdr:row>
      <xdr:rowOff>162863</xdr:rowOff>
    </xdr:from>
    <xdr:to>
      <xdr:col>39</xdr:col>
      <xdr:colOff>261438</xdr:colOff>
      <xdr:row>64</xdr:row>
      <xdr:rowOff>103909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9AC563BE-A4E5-CBFE-FBC6-F9EA97B06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461405</xdr:colOff>
      <xdr:row>68</xdr:row>
      <xdr:rowOff>39211</xdr:rowOff>
    </xdr:from>
    <xdr:to>
      <xdr:col>39</xdr:col>
      <xdr:colOff>259773</xdr:colOff>
      <xdr:row>82</xdr:row>
      <xdr:rowOff>34636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B18EED1-60CF-DAC1-7098-2B11FDB7F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eaturePool" displayName="FeaturePool" ref="A5:H622" totalsRowShown="0">
  <autoFilter ref="A5:H622" xr:uid="{00000000-0009-0000-0100-000001000000}"/>
  <tableColumns count="8">
    <tableColumn id="1" xr3:uid="{00000000-0010-0000-0000-000001000000}" name="Concept"/>
    <tableColumn id="2" xr3:uid="{00000000-0010-0000-0000-000002000000}" name="Conceptno"/>
    <tableColumn id="3" xr3:uid="{00000000-0010-0000-0000-000003000000}" name="featureno"/>
    <tableColumn id="4" xr3:uid="{00000000-0010-0000-0000-000004000000}" name="Feature"/>
    <tableColumn id="5" xr3:uid="{00000000-0010-0000-0000-000005000000}" name="Freq (concept)"/>
    <tableColumn id="7" xr3:uid="{00000000-0010-0000-0000-000007000000}" name="Distinct"/>
    <tableColumn id="9" xr3:uid="{AB8B05B3-271B-4DE3-B7B2-57C351D3E592}" name="Rank2" dataDxfId="15"/>
    <tableColumn id="8" xr3:uid="{00000000-0010-0000-0000-000008000000}" name="CV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3952D7-1B65-4A2A-8903-4CD1540D917E}" name="Table2" displayName="Table2" ref="A1:D1048576" totalsRowShown="0">
  <autoFilter ref="A1:D1048576" xr:uid="{AC3952D7-1B65-4A2A-8903-4CD1540D917E}"/>
  <tableColumns count="4">
    <tableColumn id="1" xr3:uid="{1EC6EF4E-5E39-499A-A242-CA9186E91E50}" name="Concept"/>
    <tableColumn id="2" xr3:uid="{DFAE0D8D-FE48-4D3C-A784-21F0BF538C24}" name="FeatureNo"/>
    <tableColumn id="3" xr3:uid="{290EA462-4B60-4942-B593-E395FEEFD0E5}" name="Frequency"/>
    <tableColumn id="4" xr3:uid="{94839066-D841-4203-9C03-15B5B2C4239E}" name="Distin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9AA7-0DD6-4170-BFAC-F6970300DADA}">
  <dimension ref="A1:E300"/>
  <sheetViews>
    <sheetView tabSelected="1" topLeftCell="A148" workbookViewId="0">
      <selection activeCell="B159" sqref="B159"/>
    </sheetView>
  </sheetViews>
  <sheetFormatPr defaultRowHeight="14.4" x14ac:dyDescent="0.3"/>
  <cols>
    <col min="4" max="4" width="9.77734375" bestFit="1" customWidth="1"/>
    <col min="5" max="5" width="11.44140625" bestFit="1" customWidth="1"/>
  </cols>
  <sheetData>
    <row r="1" spans="1:5" x14ac:dyDescent="0.3">
      <c r="A1" s="38" t="s">
        <v>483</v>
      </c>
      <c r="B1" s="38" t="s">
        <v>484</v>
      </c>
      <c r="C1" s="38" t="s">
        <v>4</v>
      </c>
      <c r="D1" s="39" t="s">
        <v>469</v>
      </c>
      <c r="E1" s="39" t="s">
        <v>7</v>
      </c>
    </row>
    <row r="2" spans="1:5" x14ac:dyDescent="0.3">
      <c r="A2">
        <v>1</v>
      </c>
      <c r="B2" t="s">
        <v>14</v>
      </c>
      <c r="C2" t="s">
        <v>13</v>
      </c>
      <c r="D2" t="s">
        <v>15</v>
      </c>
      <c r="E2" t="s">
        <v>16</v>
      </c>
    </row>
    <row r="3" spans="1:5" x14ac:dyDescent="0.3">
      <c r="A3">
        <v>2</v>
      </c>
      <c r="B3" t="s">
        <v>14</v>
      </c>
      <c r="C3" t="s">
        <v>13</v>
      </c>
      <c r="D3" t="s">
        <v>18</v>
      </c>
      <c r="E3" t="s">
        <v>19</v>
      </c>
    </row>
    <row r="4" spans="1:5" x14ac:dyDescent="0.3">
      <c r="A4">
        <v>3</v>
      </c>
      <c r="B4" t="s">
        <v>14</v>
      </c>
      <c r="C4" t="s">
        <v>13</v>
      </c>
      <c r="D4" t="s">
        <v>20</v>
      </c>
      <c r="E4" t="s">
        <v>21</v>
      </c>
    </row>
    <row r="5" spans="1:5" x14ac:dyDescent="0.3">
      <c r="A5">
        <v>4</v>
      </c>
      <c r="B5" t="s">
        <v>14</v>
      </c>
      <c r="C5" t="s">
        <v>13</v>
      </c>
      <c r="D5" t="s">
        <v>23</v>
      </c>
      <c r="E5" t="s">
        <v>24</v>
      </c>
    </row>
    <row r="6" spans="1:5" x14ac:dyDescent="0.3">
      <c r="A6">
        <v>5</v>
      </c>
      <c r="B6" t="s">
        <v>14</v>
      </c>
      <c r="C6" t="s">
        <v>13</v>
      </c>
      <c r="D6" t="s">
        <v>26</v>
      </c>
      <c r="E6" t="s">
        <v>27</v>
      </c>
    </row>
    <row r="7" spans="1:5" x14ac:dyDescent="0.3">
      <c r="A7">
        <v>6</v>
      </c>
      <c r="B7" t="s">
        <v>14</v>
      </c>
      <c r="C7" t="s">
        <v>13</v>
      </c>
      <c r="D7" t="s">
        <v>28</v>
      </c>
      <c r="E7" t="s">
        <v>29</v>
      </c>
    </row>
    <row r="8" spans="1:5" x14ac:dyDescent="0.3">
      <c r="A8">
        <v>7</v>
      </c>
      <c r="B8" t="s">
        <v>14</v>
      </c>
      <c r="C8" t="s">
        <v>13</v>
      </c>
      <c r="D8" t="s">
        <v>30</v>
      </c>
      <c r="E8" t="s">
        <v>31</v>
      </c>
    </row>
    <row r="9" spans="1:5" x14ac:dyDescent="0.3">
      <c r="A9">
        <v>8</v>
      </c>
      <c r="B9" t="s">
        <v>14</v>
      </c>
      <c r="C9" t="s">
        <v>13</v>
      </c>
      <c r="D9" t="s">
        <v>32</v>
      </c>
      <c r="E9" t="s">
        <v>33</v>
      </c>
    </row>
    <row r="10" spans="1:5" x14ac:dyDescent="0.3">
      <c r="A10">
        <v>9</v>
      </c>
      <c r="B10" t="s">
        <v>14</v>
      </c>
      <c r="C10" t="s">
        <v>13</v>
      </c>
      <c r="D10" t="s">
        <v>34</v>
      </c>
      <c r="E10" t="s">
        <v>35</v>
      </c>
    </row>
    <row r="11" spans="1:5" x14ac:dyDescent="0.3">
      <c r="A11">
        <v>10</v>
      </c>
      <c r="B11" t="s">
        <v>14</v>
      </c>
      <c r="C11" t="s">
        <v>13</v>
      </c>
      <c r="D11" t="s">
        <v>37</v>
      </c>
      <c r="E11" t="s">
        <v>38</v>
      </c>
    </row>
    <row r="12" spans="1:5" x14ac:dyDescent="0.3">
      <c r="A12">
        <v>1</v>
      </c>
      <c r="B12" t="s">
        <v>40</v>
      </c>
      <c r="C12" t="s">
        <v>39</v>
      </c>
      <c r="D12" t="s">
        <v>41</v>
      </c>
      <c r="E12" t="s">
        <v>42</v>
      </c>
    </row>
    <row r="13" spans="1:5" x14ac:dyDescent="0.3">
      <c r="A13">
        <v>2</v>
      </c>
      <c r="B13" t="s">
        <v>40</v>
      </c>
      <c r="C13" t="s">
        <v>39</v>
      </c>
      <c r="D13" t="s">
        <v>43</v>
      </c>
      <c r="E13" t="s">
        <v>44</v>
      </c>
    </row>
    <row r="14" spans="1:5" x14ac:dyDescent="0.3">
      <c r="A14">
        <v>3</v>
      </c>
      <c r="B14" t="s">
        <v>40</v>
      </c>
      <c r="C14" t="s">
        <v>39</v>
      </c>
      <c r="D14" t="s">
        <v>46</v>
      </c>
      <c r="E14" t="s">
        <v>47</v>
      </c>
    </row>
    <row r="15" spans="1:5" x14ac:dyDescent="0.3">
      <c r="A15">
        <v>4</v>
      </c>
      <c r="B15" t="s">
        <v>40</v>
      </c>
      <c r="C15" t="s">
        <v>39</v>
      </c>
      <c r="D15" t="s">
        <v>48</v>
      </c>
      <c r="E15" t="s">
        <v>49</v>
      </c>
    </row>
    <row r="16" spans="1:5" x14ac:dyDescent="0.3">
      <c r="A16">
        <v>5</v>
      </c>
      <c r="B16" t="s">
        <v>40</v>
      </c>
      <c r="C16" t="s">
        <v>39</v>
      </c>
      <c r="D16" t="s">
        <v>50</v>
      </c>
      <c r="E16" t="s">
        <v>51</v>
      </c>
    </row>
    <row r="17" spans="1:5" x14ac:dyDescent="0.3">
      <c r="A17">
        <v>6</v>
      </c>
      <c r="B17" t="s">
        <v>40</v>
      </c>
      <c r="C17" t="s">
        <v>39</v>
      </c>
      <c r="D17" t="s">
        <v>52</v>
      </c>
      <c r="E17" t="s">
        <v>53</v>
      </c>
    </row>
    <row r="18" spans="1:5" x14ac:dyDescent="0.3">
      <c r="A18">
        <v>7</v>
      </c>
      <c r="B18" t="s">
        <v>40</v>
      </c>
      <c r="C18" t="s">
        <v>39</v>
      </c>
      <c r="D18" t="s">
        <v>54</v>
      </c>
      <c r="E18" t="s">
        <v>55</v>
      </c>
    </row>
    <row r="19" spans="1:5" x14ac:dyDescent="0.3">
      <c r="A19">
        <v>8</v>
      </c>
      <c r="B19" t="s">
        <v>40</v>
      </c>
      <c r="C19" t="s">
        <v>39</v>
      </c>
      <c r="D19" t="s">
        <v>56</v>
      </c>
      <c r="E19" t="s">
        <v>57</v>
      </c>
    </row>
    <row r="20" spans="1:5" x14ac:dyDescent="0.3">
      <c r="A20">
        <v>9</v>
      </c>
      <c r="B20" t="s">
        <v>40</v>
      </c>
      <c r="C20" t="s">
        <v>39</v>
      </c>
      <c r="D20" t="s">
        <v>58</v>
      </c>
      <c r="E20" t="s">
        <v>59</v>
      </c>
    </row>
    <row r="21" spans="1:5" x14ac:dyDescent="0.3">
      <c r="A21">
        <v>10</v>
      </c>
      <c r="B21" t="s">
        <v>40</v>
      </c>
      <c r="C21" t="s">
        <v>39</v>
      </c>
      <c r="D21" t="s">
        <v>60</v>
      </c>
      <c r="E21" t="s">
        <v>61</v>
      </c>
    </row>
    <row r="22" spans="1:5" x14ac:dyDescent="0.3">
      <c r="A22">
        <v>1</v>
      </c>
      <c r="B22" t="s">
        <v>63</v>
      </c>
      <c r="C22" t="s">
        <v>62</v>
      </c>
      <c r="D22" t="s">
        <v>64</v>
      </c>
      <c r="E22" t="s">
        <v>65</v>
      </c>
    </row>
    <row r="23" spans="1:5" x14ac:dyDescent="0.3">
      <c r="A23">
        <v>2</v>
      </c>
      <c r="B23" t="s">
        <v>63</v>
      </c>
      <c r="C23" t="s">
        <v>62</v>
      </c>
      <c r="D23" t="s">
        <v>66</v>
      </c>
      <c r="E23" t="s">
        <v>67</v>
      </c>
    </row>
    <row r="24" spans="1:5" x14ac:dyDescent="0.3">
      <c r="A24">
        <v>3</v>
      </c>
      <c r="B24" t="s">
        <v>63</v>
      </c>
      <c r="C24" t="s">
        <v>62</v>
      </c>
      <c r="D24" t="s">
        <v>68</v>
      </c>
      <c r="E24" t="s">
        <v>69</v>
      </c>
    </row>
    <row r="25" spans="1:5" x14ac:dyDescent="0.3">
      <c r="A25">
        <v>4</v>
      </c>
      <c r="B25" t="s">
        <v>63</v>
      </c>
      <c r="C25" t="s">
        <v>62</v>
      </c>
      <c r="D25" t="s">
        <v>70</v>
      </c>
      <c r="E25" t="s">
        <v>71</v>
      </c>
    </row>
    <row r="26" spans="1:5" x14ac:dyDescent="0.3">
      <c r="A26">
        <v>5</v>
      </c>
      <c r="B26" t="s">
        <v>63</v>
      </c>
      <c r="C26" t="s">
        <v>62</v>
      </c>
      <c r="D26" t="s">
        <v>72</v>
      </c>
      <c r="E26" t="s">
        <v>73</v>
      </c>
    </row>
    <row r="27" spans="1:5" x14ac:dyDescent="0.3">
      <c r="A27">
        <v>6</v>
      </c>
      <c r="B27" t="s">
        <v>63</v>
      </c>
      <c r="C27" t="s">
        <v>62</v>
      </c>
      <c r="D27" t="s">
        <v>74</v>
      </c>
      <c r="E27" t="s">
        <v>75</v>
      </c>
    </row>
    <row r="28" spans="1:5" x14ac:dyDescent="0.3">
      <c r="A28">
        <v>7</v>
      </c>
      <c r="B28" t="s">
        <v>63</v>
      </c>
      <c r="C28" t="s">
        <v>62</v>
      </c>
      <c r="D28" t="s">
        <v>76</v>
      </c>
      <c r="E28" t="s">
        <v>77</v>
      </c>
    </row>
    <row r="29" spans="1:5" x14ac:dyDescent="0.3">
      <c r="A29">
        <v>8</v>
      </c>
      <c r="B29" t="s">
        <v>63</v>
      </c>
      <c r="C29" t="s">
        <v>62</v>
      </c>
      <c r="D29" t="s">
        <v>78</v>
      </c>
      <c r="E29" t="s">
        <v>79</v>
      </c>
    </row>
    <row r="30" spans="1:5" x14ac:dyDescent="0.3">
      <c r="A30">
        <v>9</v>
      </c>
      <c r="B30" t="s">
        <v>63</v>
      </c>
      <c r="C30" t="s">
        <v>62</v>
      </c>
      <c r="D30" t="s">
        <v>80</v>
      </c>
      <c r="E30" t="s">
        <v>81</v>
      </c>
    </row>
    <row r="31" spans="1:5" x14ac:dyDescent="0.3">
      <c r="A31">
        <v>10</v>
      </c>
      <c r="B31" t="s">
        <v>63</v>
      </c>
      <c r="C31" t="s">
        <v>62</v>
      </c>
      <c r="D31" t="s">
        <v>82</v>
      </c>
      <c r="E31" t="s">
        <v>83</v>
      </c>
    </row>
    <row r="32" spans="1:5" x14ac:dyDescent="0.3">
      <c r="A32">
        <v>1</v>
      </c>
      <c r="B32" t="s">
        <v>85</v>
      </c>
      <c r="C32" t="s">
        <v>84</v>
      </c>
      <c r="D32" t="s">
        <v>15</v>
      </c>
      <c r="E32" t="s">
        <v>16</v>
      </c>
    </row>
    <row r="33" spans="1:5" x14ac:dyDescent="0.3">
      <c r="A33">
        <v>2</v>
      </c>
      <c r="B33" t="s">
        <v>85</v>
      </c>
      <c r="C33" t="s">
        <v>84</v>
      </c>
      <c r="D33" t="s">
        <v>86</v>
      </c>
      <c r="E33" t="s">
        <v>87</v>
      </c>
    </row>
    <row r="34" spans="1:5" x14ac:dyDescent="0.3">
      <c r="A34">
        <v>3</v>
      </c>
      <c r="B34" t="s">
        <v>85</v>
      </c>
      <c r="C34" t="s">
        <v>84</v>
      </c>
      <c r="D34" t="s">
        <v>88</v>
      </c>
      <c r="E34" t="s">
        <v>89</v>
      </c>
    </row>
    <row r="35" spans="1:5" x14ac:dyDescent="0.3">
      <c r="A35">
        <v>4</v>
      </c>
      <c r="B35" t="s">
        <v>85</v>
      </c>
      <c r="C35" t="s">
        <v>84</v>
      </c>
      <c r="D35" t="s">
        <v>90</v>
      </c>
      <c r="E35" t="s">
        <v>91</v>
      </c>
    </row>
    <row r="36" spans="1:5" x14ac:dyDescent="0.3">
      <c r="A36">
        <v>5</v>
      </c>
      <c r="B36" t="s">
        <v>85</v>
      </c>
      <c r="C36" t="s">
        <v>84</v>
      </c>
      <c r="D36" t="s">
        <v>37</v>
      </c>
      <c r="E36" t="s">
        <v>38</v>
      </c>
    </row>
    <row r="37" spans="1:5" x14ac:dyDescent="0.3">
      <c r="A37">
        <v>6</v>
      </c>
      <c r="B37" t="s">
        <v>85</v>
      </c>
      <c r="C37" t="s">
        <v>84</v>
      </c>
      <c r="D37" t="s">
        <v>18</v>
      </c>
      <c r="E37" t="s">
        <v>19</v>
      </c>
    </row>
    <row r="38" spans="1:5" x14ac:dyDescent="0.3">
      <c r="A38">
        <v>7</v>
      </c>
      <c r="B38" t="s">
        <v>85</v>
      </c>
      <c r="C38" t="s">
        <v>84</v>
      </c>
      <c r="D38" t="s">
        <v>92</v>
      </c>
      <c r="E38" t="s">
        <v>93</v>
      </c>
    </row>
    <row r="39" spans="1:5" x14ac:dyDescent="0.3">
      <c r="A39">
        <v>8</v>
      </c>
      <c r="B39" t="s">
        <v>85</v>
      </c>
      <c r="C39" t="s">
        <v>84</v>
      </c>
      <c r="D39" t="s">
        <v>94</v>
      </c>
      <c r="E39" t="s">
        <v>95</v>
      </c>
    </row>
    <row r="40" spans="1:5" x14ac:dyDescent="0.3">
      <c r="A40">
        <v>9</v>
      </c>
      <c r="B40" t="s">
        <v>85</v>
      </c>
      <c r="C40" t="s">
        <v>84</v>
      </c>
      <c r="D40" t="s">
        <v>96</v>
      </c>
      <c r="E40" t="s">
        <v>97</v>
      </c>
    </row>
    <row r="41" spans="1:5" x14ac:dyDescent="0.3">
      <c r="A41">
        <v>10</v>
      </c>
      <c r="B41" t="s">
        <v>85</v>
      </c>
      <c r="C41" t="s">
        <v>84</v>
      </c>
      <c r="D41" t="s">
        <v>98</v>
      </c>
      <c r="E41" t="s">
        <v>99</v>
      </c>
    </row>
    <row r="42" spans="1:5" x14ac:dyDescent="0.3">
      <c r="A42">
        <v>1</v>
      </c>
      <c r="B42" t="s">
        <v>101</v>
      </c>
      <c r="C42" t="s">
        <v>100</v>
      </c>
      <c r="D42" t="s">
        <v>102</v>
      </c>
      <c r="E42" t="s">
        <v>103</v>
      </c>
    </row>
    <row r="43" spans="1:5" x14ac:dyDescent="0.3">
      <c r="A43">
        <v>2</v>
      </c>
      <c r="B43" t="s">
        <v>101</v>
      </c>
      <c r="C43" t="s">
        <v>100</v>
      </c>
      <c r="D43" t="s">
        <v>104</v>
      </c>
      <c r="E43" t="s">
        <v>105</v>
      </c>
    </row>
    <row r="44" spans="1:5" x14ac:dyDescent="0.3">
      <c r="A44">
        <v>3</v>
      </c>
      <c r="B44" t="s">
        <v>101</v>
      </c>
      <c r="C44" t="s">
        <v>100</v>
      </c>
      <c r="D44" t="s">
        <v>106</v>
      </c>
      <c r="E44" t="s">
        <v>107</v>
      </c>
    </row>
    <row r="45" spans="1:5" x14ac:dyDescent="0.3">
      <c r="A45">
        <v>4</v>
      </c>
      <c r="B45" t="s">
        <v>101</v>
      </c>
      <c r="C45" t="s">
        <v>100</v>
      </c>
      <c r="D45" t="s">
        <v>41</v>
      </c>
      <c r="E45" t="s">
        <v>108</v>
      </c>
    </row>
    <row r="46" spans="1:5" x14ac:dyDescent="0.3">
      <c r="A46">
        <v>5</v>
      </c>
      <c r="B46" t="s">
        <v>101</v>
      </c>
      <c r="C46" t="s">
        <v>100</v>
      </c>
      <c r="D46" t="s">
        <v>109</v>
      </c>
      <c r="E46" t="s">
        <v>42</v>
      </c>
    </row>
    <row r="47" spans="1:5" x14ac:dyDescent="0.3">
      <c r="A47">
        <v>6</v>
      </c>
      <c r="B47" t="s">
        <v>101</v>
      </c>
      <c r="C47" t="s">
        <v>100</v>
      </c>
      <c r="D47" t="s">
        <v>110</v>
      </c>
      <c r="E47" t="s">
        <v>51</v>
      </c>
    </row>
    <row r="48" spans="1:5" x14ac:dyDescent="0.3">
      <c r="A48">
        <v>7</v>
      </c>
      <c r="B48" t="s">
        <v>101</v>
      </c>
      <c r="C48" t="s">
        <v>100</v>
      </c>
      <c r="D48" t="s">
        <v>50</v>
      </c>
      <c r="E48" t="s">
        <v>111</v>
      </c>
    </row>
    <row r="49" spans="1:5" x14ac:dyDescent="0.3">
      <c r="A49">
        <v>8</v>
      </c>
      <c r="B49" t="s">
        <v>101</v>
      </c>
      <c r="C49" t="s">
        <v>100</v>
      </c>
      <c r="D49" t="s">
        <v>46</v>
      </c>
      <c r="E49" t="s">
        <v>47</v>
      </c>
    </row>
    <row r="50" spans="1:5" x14ac:dyDescent="0.3">
      <c r="A50">
        <v>9</v>
      </c>
      <c r="B50" t="s">
        <v>101</v>
      </c>
      <c r="C50" t="s">
        <v>100</v>
      </c>
      <c r="D50" t="s">
        <v>56</v>
      </c>
      <c r="E50" t="s">
        <v>57</v>
      </c>
    </row>
    <row r="51" spans="1:5" x14ac:dyDescent="0.3">
      <c r="A51">
        <v>10</v>
      </c>
      <c r="B51" t="s">
        <v>101</v>
      </c>
      <c r="C51" t="s">
        <v>100</v>
      </c>
      <c r="D51" t="s">
        <v>112</v>
      </c>
      <c r="E51" t="s">
        <v>113</v>
      </c>
    </row>
    <row r="52" spans="1:5" x14ac:dyDescent="0.3">
      <c r="A52">
        <v>1</v>
      </c>
      <c r="B52" t="s">
        <v>115</v>
      </c>
      <c r="C52" t="s">
        <v>114</v>
      </c>
      <c r="D52" t="s">
        <v>116</v>
      </c>
      <c r="E52" t="s">
        <v>117</v>
      </c>
    </row>
    <row r="53" spans="1:5" x14ac:dyDescent="0.3">
      <c r="A53">
        <v>2</v>
      </c>
      <c r="B53" t="s">
        <v>115</v>
      </c>
      <c r="C53" t="s">
        <v>114</v>
      </c>
      <c r="D53" t="s">
        <v>50</v>
      </c>
      <c r="E53" t="s">
        <v>51</v>
      </c>
    </row>
    <row r="54" spans="1:5" x14ac:dyDescent="0.3">
      <c r="A54">
        <v>3</v>
      </c>
      <c r="B54" t="s">
        <v>115</v>
      </c>
      <c r="C54" t="s">
        <v>114</v>
      </c>
      <c r="D54" t="s">
        <v>118</v>
      </c>
      <c r="E54" t="s">
        <v>119</v>
      </c>
    </row>
    <row r="55" spans="1:5" x14ac:dyDescent="0.3">
      <c r="A55">
        <v>4</v>
      </c>
      <c r="B55" t="s">
        <v>115</v>
      </c>
      <c r="C55" t="s">
        <v>114</v>
      </c>
      <c r="D55" t="s">
        <v>120</v>
      </c>
      <c r="E55" t="s">
        <v>121</v>
      </c>
    </row>
    <row r="56" spans="1:5" x14ac:dyDescent="0.3">
      <c r="A56">
        <v>5</v>
      </c>
      <c r="B56" t="s">
        <v>115</v>
      </c>
      <c r="C56" t="s">
        <v>114</v>
      </c>
      <c r="D56" t="s">
        <v>122</v>
      </c>
      <c r="E56" t="s">
        <v>123</v>
      </c>
    </row>
    <row r="57" spans="1:5" x14ac:dyDescent="0.3">
      <c r="A57">
        <v>6</v>
      </c>
      <c r="B57" t="s">
        <v>115</v>
      </c>
      <c r="C57" t="s">
        <v>114</v>
      </c>
      <c r="D57" t="s">
        <v>124</v>
      </c>
      <c r="E57" t="s">
        <v>125</v>
      </c>
    </row>
    <row r="58" spans="1:5" x14ac:dyDescent="0.3">
      <c r="A58">
        <v>7</v>
      </c>
      <c r="B58" t="s">
        <v>115</v>
      </c>
      <c r="C58" t="s">
        <v>114</v>
      </c>
      <c r="D58" t="s">
        <v>126</v>
      </c>
      <c r="E58" t="s">
        <v>127</v>
      </c>
    </row>
    <row r="59" spans="1:5" x14ac:dyDescent="0.3">
      <c r="A59">
        <v>8</v>
      </c>
      <c r="B59" t="s">
        <v>115</v>
      </c>
      <c r="C59" t="s">
        <v>114</v>
      </c>
      <c r="D59" t="s">
        <v>128</v>
      </c>
      <c r="E59" t="s">
        <v>129</v>
      </c>
    </row>
    <row r="60" spans="1:5" x14ac:dyDescent="0.3">
      <c r="A60">
        <v>9</v>
      </c>
      <c r="B60" t="s">
        <v>115</v>
      </c>
      <c r="C60" t="s">
        <v>114</v>
      </c>
      <c r="D60" t="s">
        <v>130</v>
      </c>
      <c r="E60" t="s">
        <v>131</v>
      </c>
    </row>
    <row r="61" spans="1:5" x14ac:dyDescent="0.3">
      <c r="A61">
        <v>10</v>
      </c>
      <c r="B61" t="s">
        <v>115</v>
      </c>
      <c r="C61" t="s">
        <v>114</v>
      </c>
      <c r="D61" t="s">
        <v>132</v>
      </c>
      <c r="E61" t="s">
        <v>133</v>
      </c>
    </row>
    <row r="62" spans="1:5" x14ac:dyDescent="0.3">
      <c r="A62">
        <v>1</v>
      </c>
      <c r="B62" t="s">
        <v>135</v>
      </c>
      <c r="C62" t="s">
        <v>134</v>
      </c>
      <c r="D62" t="s">
        <v>26</v>
      </c>
      <c r="E62" t="s">
        <v>27</v>
      </c>
    </row>
    <row r="63" spans="1:5" x14ac:dyDescent="0.3">
      <c r="A63">
        <v>2</v>
      </c>
      <c r="B63" t="s">
        <v>135</v>
      </c>
      <c r="C63" t="s">
        <v>134</v>
      </c>
      <c r="D63" t="s">
        <v>15</v>
      </c>
      <c r="E63" t="s">
        <v>16</v>
      </c>
    </row>
    <row r="64" spans="1:5" x14ac:dyDescent="0.3">
      <c r="A64">
        <v>3</v>
      </c>
      <c r="B64" t="s">
        <v>135</v>
      </c>
      <c r="C64" t="s">
        <v>134</v>
      </c>
      <c r="D64" t="s">
        <v>136</v>
      </c>
      <c r="E64" t="s">
        <v>137</v>
      </c>
    </row>
    <row r="65" spans="1:5" x14ac:dyDescent="0.3">
      <c r="A65">
        <v>4</v>
      </c>
      <c r="B65" t="s">
        <v>135</v>
      </c>
      <c r="C65" t="s">
        <v>134</v>
      </c>
      <c r="D65" t="s">
        <v>138</v>
      </c>
      <c r="E65" t="s">
        <v>139</v>
      </c>
    </row>
    <row r="66" spans="1:5" x14ac:dyDescent="0.3">
      <c r="A66">
        <v>5</v>
      </c>
      <c r="B66" t="s">
        <v>135</v>
      </c>
      <c r="C66" t="s">
        <v>134</v>
      </c>
      <c r="D66" t="s">
        <v>140</v>
      </c>
      <c r="E66" t="s">
        <v>141</v>
      </c>
    </row>
    <row r="67" spans="1:5" x14ac:dyDescent="0.3">
      <c r="A67">
        <v>6</v>
      </c>
      <c r="B67" t="s">
        <v>135</v>
      </c>
      <c r="C67" t="s">
        <v>134</v>
      </c>
      <c r="D67" t="s">
        <v>142</v>
      </c>
      <c r="E67" t="s">
        <v>143</v>
      </c>
    </row>
    <row r="68" spans="1:5" x14ac:dyDescent="0.3">
      <c r="A68">
        <v>7</v>
      </c>
      <c r="B68" t="s">
        <v>135</v>
      </c>
      <c r="C68" t="s">
        <v>134</v>
      </c>
      <c r="D68" t="s">
        <v>144</v>
      </c>
      <c r="E68" t="s">
        <v>145</v>
      </c>
    </row>
    <row r="69" spans="1:5" x14ac:dyDescent="0.3">
      <c r="A69">
        <v>8</v>
      </c>
      <c r="B69" t="s">
        <v>135</v>
      </c>
      <c r="C69" t="s">
        <v>134</v>
      </c>
      <c r="D69" t="s">
        <v>96</v>
      </c>
      <c r="E69" t="s">
        <v>97</v>
      </c>
    </row>
    <row r="70" spans="1:5" x14ac:dyDescent="0.3">
      <c r="A70">
        <v>9</v>
      </c>
      <c r="B70" t="s">
        <v>135</v>
      </c>
      <c r="C70" t="s">
        <v>134</v>
      </c>
      <c r="D70" t="s">
        <v>34</v>
      </c>
      <c r="E70" t="s">
        <v>35</v>
      </c>
    </row>
    <row r="71" spans="1:5" x14ac:dyDescent="0.3">
      <c r="A71">
        <v>10</v>
      </c>
      <c r="B71" t="s">
        <v>135</v>
      </c>
      <c r="C71" t="s">
        <v>134</v>
      </c>
      <c r="D71" t="s">
        <v>28</v>
      </c>
      <c r="E71" t="s">
        <v>29</v>
      </c>
    </row>
    <row r="72" spans="1:5" x14ac:dyDescent="0.3">
      <c r="A72">
        <v>1</v>
      </c>
      <c r="B72" t="s">
        <v>147</v>
      </c>
      <c r="C72" t="s">
        <v>146</v>
      </c>
      <c r="D72" t="s">
        <v>15</v>
      </c>
      <c r="E72" t="s">
        <v>16</v>
      </c>
    </row>
    <row r="73" spans="1:5" x14ac:dyDescent="0.3">
      <c r="A73">
        <v>2</v>
      </c>
      <c r="B73" t="s">
        <v>147</v>
      </c>
      <c r="C73" t="s">
        <v>146</v>
      </c>
      <c r="D73" t="s">
        <v>26</v>
      </c>
      <c r="E73" t="s">
        <v>27</v>
      </c>
    </row>
    <row r="74" spans="1:5" x14ac:dyDescent="0.3">
      <c r="A74">
        <v>3</v>
      </c>
      <c r="B74" t="s">
        <v>147</v>
      </c>
      <c r="C74" t="s">
        <v>146</v>
      </c>
      <c r="D74" t="s">
        <v>148</v>
      </c>
      <c r="E74" t="s">
        <v>149</v>
      </c>
    </row>
    <row r="75" spans="1:5" x14ac:dyDescent="0.3">
      <c r="A75">
        <v>4</v>
      </c>
      <c r="B75" t="s">
        <v>147</v>
      </c>
      <c r="C75" t="s">
        <v>146</v>
      </c>
      <c r="D75" t="s">
        <v>20</v>
      </c>
      <c r="E75" t="s">
        <v>21</v>
      </c>
    </row>
    <row r="76" spans="1:5" x14ac:dyDescent="0.3">
      <c r="A76">
        <v>5</v>
      </c>
      <c r="B76" t="s">
        <v>147</v>
      </c>
      <c r="C76" t="s">
        <v>146</v>
      </c>
      <c r="D76" t="s">
        <v>150</v>
      </c>
      <c r="E76" t="s">
        <v>151</v>
      </c>
    </row>
    <row r="77" spans="1:5" x14ac:dyDescent="0.3">
      <c r="A77">
        <v>6</v>
      </c>
      <c r="B77" t="s">
        <v>147</v>
      </c>
      <c r="C77" t="s">
        <v>146</v>
      </c>
      <c r="D77" t="s">
        <v>37</v>
      </c>
      <c r="E77" t="s">
        <v>38</v>
      </c>
    </row>
    <row r="78" spans="1:5" x14ac:dyDescent="0.3">
      <c r="A78">
        <v>7</v>
      </c>
      <c r="B78" t="s">
        <v>147</v>
      </c>
      <c r="C78" t="s">
        <v>146</v>
      </c>
      <c r="D78" t="s">
        <v>140</v>
      </c>
      <c r="E78" t="s">
        <v>141</v>
      </c>
    </row>
    <row r="79" spans="1:5" x14ac:dyDescent="0.3">
      <c r="A79">
        <v>8</v>
      </c>
      <c r="B79" t="s">
        <v>147</v>
      </c>
      <c r="C79" t="s">
        <v>146</v>
      </c>
      <c r="D79" t="s">
        <v>32</v>
      </c>
      <c r="E79" t="s">
        <v>33</v>
      </c>
    </row>
    <row r="80" spans="1:5" x14ac:dyDescent="0.3">
      <c r="A80">
        <v>9</v>
      </c>
      <c r="B80" t="s">
        <v>147</v>
      </c>
      <c r="C80" t="s">
        <v>146</v>
      </c>
      <c r="D80" t="s">
        <v>152</v>
      </c>
      <c r="E80" t="s">
        <v>153</v>
      </c>
    </row>
    <row r="81" spans="1:5" x14ac:dyDescent="0.3">
      <c r="A81">
        <v>10</v>
      </c>
      <c r="B81" t="s">
        <v>147</v>
      </c>
      <c r="C81" t="s">
        <v>146</v>
      </c>
      <c r="D81" t="s">
        <v>23</v>
      </c>
      <c r="E81" t="s">
        <v>24</v>
      </c>
    </row>
    <row r="82" spans="1:5" x14ac:dyDescent="0.3">
      <c r="A82">
        <v>1</v>
      </c>
      <c r="B82" t="s">
        <v>155</v>
      </c>
      <c r="C82" t="s">
        <v>154</v>
      </c>
      <c r="D82" t="s">
        <v>156</v>
      </c>
      <c r="E82" t="s">
        <v>157</v>
      </c>
    </row>
    <row r="83" spans="1:5" x14ac:dyDescent="0.3">
      <c r="A83">
        <v>2</v>
      </c>
      <c r="B83" t="s">
        <v>155</v>
      </c>
      <c r="C83" t="s">
        <v>154</v>
      </c>
      <c r="D83" t="s">
        <v>158</v>
      </c>
      <c r="E83" t="s">
        <v>159</v>
      </c>
    </row>
    <row r="84" spans="1:5" x14ac:dyDescent="0.3">
      <c r="A84">
        <v>3</v>
      </c>
      <c r="B84" t="s">
        <v>155</v>
      </c>
      <c r="C84" t="s">
        <v>154</v>
      </c>
      <c r="D84" t="s">
        <v>160</v>
      </c>
      <c r="E84" t="s">
        <v>161</v>
      </c>
    </row>
    <row r="85" spans="1:5" x14ac:dyDescent="0.3">
      <c r="A85">
        <v>4</v>
      </c>
      <c r="B85" t="s">
        <v>155</v>
      </c>
      <c r="C85" t="s">
        <v>154</v>
      </c>
      <c r="D85" t="s">
        <v>78</v>
      </c>
      <c r="E85" t="s">
        <v>79</v>
      </c>
    </row>
    <row r="86" spans="1:5" x14ac:dyDescent="0.3">
      <c r="A86">
        <v>5</v>
      </c>
      <c r="B86" t="s">
        <v>155</v>
      </c>
      <c r="C86" t="s">
        <v>154</v>
      </c>
      <c r="D86" t="s">
        <v>162</v>
      </c>
      <c r="E86" t="s">
        <v>163</v>
      </c>
    </row>
    <row r="87" spans="1:5" x14ac:dyDescent="0.3">
      <c r="A87">
        <v>6</v>
      </c>
      <c r="B87" t="s">
        <v>155</v>
      </c>
      <c r="C87" t="s">
        <v>154</v>
      </c>
      <c r="D87" t="s">
        <v>164</v>
      </c>
      <c r="E87" t="s">
        <v>165</v>
      </c>
    </row>
    <row r="88" spans="1:5" x14ac:dyDescent="0.3">
      <c r="A88">
        <v>7</v>
      </c>
      <c r="B88" t="s">
        <v>155</v>
      </c>
      <c r="C88" t="s">
        <v>154</v>
      </c>
      <c r="D88" t="s">
        <v>166</v>
      </c>
      <c r="E88" t="s">
        <v>167</v>
      </c>
    </row>
    <row r="89" spans="1:5" x14ac:dyDescent="0.3">
      <c r="A89">
        <v>8</v>
      </c>
      <c r="B89" t="s">
        <v>155</v>
      </c>
      <c r="C89" t="s">
        <v>154</v>
      </c>
      <c r="D89" t="s">
        <v>168</v>
      </c>
      <c r="E89" t="s">
        <v>169</v>
      </c>
    </row>
    <row r="90" spans="1:5" x14ac:dyDescent="0.3">
      <c r="A90">
        <v>9</v>
      </c>
      <c r="B90" t="s">
        <v>155</v>
      </c>
      <c r="C90" t="s">
        <v>154</v>
      </c>
      <c r="D90" t="s">
        <v>170</v>
      </c>
      <c r="E90" t="s">
        <v>171</v>
      </c>
    </row>
    <row r="91" spans="1:5" x14ac:dyDescent="0.3">
      <c r="A91">
        <v>10</v>
      </c>
      <c r="B91" t="s">
        <v>155</v>
      </c>
      <c r="C91" t="s">
        <v>154</v>
      </c>
      <c r="D91" t="s">
        <v>90</v>
      </c>
      <c r="E91" t="s">
        <v>91</v>
      </c>
    </row>
    <row r="92" spans="1:5" x14ac:dyDescent="0.3">
      <c r="A92">
        <v>1</v>
      </c>
      <c r="B92" t="s">
        <v>173</v>
      </c>
      <c r="C92" t="s">
        <v>172</v>
      </c>
      <c r="D92" t="s">
        <v>15</v>
      </c>
      <c r="E92" t="s">
        <v>16</v>
      </c>
    </row>
    <row r="93" spans="1:5" x14ac:dyDescent="0.3">
      <c r="A93">
        <v>2</v>
      </c>
      <c r="B93" t="s">
        <v>173</v>
      </c>
      <c r="C93" t="s">
        <v>172</v>
      </c>
      <c r="D93" t="s">
        <v>174</v>
      </c>
      <c r="E93" t="s">
        <v>175</v>
      </c>
    </row>
    <row r="94" spans="1:5" x14ac:dyDescent="0.3">
      <c r="A94">
        <v>3</v>
      </c>
      <c r="B94" t="s">
        <v>173</v>
      </c>
      <c r="C94" t="s">
        <v>172</v>
      </c>
      <c r="D94" t="s">
        <v>94</v>
      </c>
      <c r="E94" t="s">
        <v>95</v>
      </c>
    </row>
    <row r="95" spans="1:5" x14ac:dyDescent="0.3">
      <c r="A95">
        <v>4</v>
      </c>
      <c r="B95" t="s">
        <v>173</v>
      </c>
      <c r="C95" t="s">
        <v>172</v>
      </c>
      <c r="D95" t="s">
        <v>176</v>
      </c>
      <c r="E95" t="s">
        <v>177</v>
      </c>
    </row>
    <row r="96" spans="1:5" x14ac:dyDescent="0.3">
      <c r="A96">
        <v>5</v>
      </c>
      <c r="B96" t="s">
        <v>173</v>
      </c>
      <c r="C96" t="s">
        <v>172</v>
      </c>
      <c r="D96" t="s">
        <v>88</v>
      </c>
      <c r="E96" t="s">
        <v>89</v>
      </c>
    </row>
    <row r="97" spans="1:5" x14ac:dyDescent="0.3">
      <c r="A97">
        <v>6</v>
      </c>
      <c r="B97" t="s">
        <v>173</v>
      </c>
      <c r="C97" t="s">
        <v>172</v>
      </c>
      <c r="D97" t="s">
        <v>98</v>
      </c>
      <c r="E97" t="s">
        <v>99</v>
      </c>
    </row>
    <row r="98" spans="1:5" x14ac:dyDescent="0.3">
      <c r="A98">
        <v>7</v>
      </c>
      <c r="B98" t="s">
        <v>173</v>
      </c>
      <c r="C98" t="s">
        <v>172</v>
      </c>
      <c r="D98" t="s">
        <v>20</v>
      </c>
      <c r="E98" t="s">
        <v>21</v>
      </c>
    </row>
    <row r="99" spans="1:5" x14ac:dyDescent="0.3">
      <c r="A99">
        <v>8</v>
      </c>
      <c r="B99" t="s">
        <v>173</v>
      </c>
      <c r="C99" t="s">
        <v>172</v>
      </c>
      <c r="D99" t="s">
        <v>178</v>
      </c>
      <c r="E99" t="s">
        <v>179</v>
      </c>
    </row>
    <row r="100" spans="1:5" x14ac:dyDescent="0.3">
      <c r="A100">
        <v>9</v>
      </c>
      <c r="B100" t="s">
        <v>173</v>
      </c>
      <c r="C100" t="s">
        <v>172</v>
      </c>
      <c r="D100" t="s">
        <v>180</v>
      </c>
      <c r="E100" t="s">
        <v>181</v>
      </c>
    </row>
    <row r="101" spans="1:5" x14ac:dyDescent="0.3">
      <c r="A101">
        <v>10</v>
      </c>
      <c r="B101" t="s">
        <v>173</v>
      </c>
      <c r="C101" t="s">
        <v>172</v>
      </c>
      <c r="D101" t="s">
        <v>32</v>
      </c>
      <c r="E101" t="s">
        <v>33</v>
      </c>
    </row>
    <row r="102" spans="1:5" x14ac:dyDescent="0.3">
      <c r="A102">
        <v>1</v>
      </c>
      <c r="B102" t="s">
        <v>183</v>
      </c>
      <c r="C102" t="s">
        <v>182</v>
      </c>
      <c r="D102" t="s">
        <v>180</v>
      </c>
      <c r="E102" t="s">
        <v>181</v>
      </c>
    </row>
    <row r="103" spans="1:5" x14ac:dyDescent="0.3">
      <c r="A103">
        <v>2</v>
      </c>
      <c r="B103" t="s">
        <v>183</v>
      </c>
      <c r="C103" t="s">
        <v>182</v>
      </c>
      <c r="D103" t="s">
        <v>184</v>
      </c>
      <c r="E103" t="s">
        <v>185</v>
      </c>
    </row>
    <row r="104" spans="1:5" x14ac:dyDescent="0.3">
      <c r="A104">
        <v>3</v>
      </c>
      <c r="B104" t="s">
        <v>183</v>
      </c>
      <c r="C104" t="s">
        <v>182</v>
      </c>
      <c r="D104" t="s">
        <v>186</v>
      </c>
      <c r="E104" t="s">
        <v>187</v>
      </c>
    </row>
    <row r="105" spans="1:5" x14ac:dyDescent="0.3">
      <c r="A105">
        <v>4</v>
      </c>
      <c r="B105" t="s">
        <v>183</v>
      </c>
      <c r="C105" t="s">
        <v>182</v>
      </c>
      <c r="D105" t="s">
        <v>188</v>
      </c>
      <c r="E105" t="s">
        <v>189</v>
      </c>
    </row>
    <row r="106" spans="1:5" x14ac:dyDescent="0.3">
      <c r="A106">
        <v>5</v>
      </c>
      <c r="B106" t="s">
        <v>183</v>
      </c>
      <c r="C106" t="s">
        <v>182</v>
      </c>
      <c r="D106" t="s">
        <v>190</v>
      </c>
      <c r="E106" t="s">
        <v>191</v>
      </c>
    </row>
    <row r="107" spans="1:5" x14ac:dyDescent="0.3">
      <c r="A107">
        <v>6</v>
      </c>
      <c r="B107" t="s">
        <v>183</v>
      </c>
      <c r="C107" t="s">
        <v>182</v>
      </c>
      <c r="D107" t="s">
        <v>88</v>
      </c>
      <c r="E107" t="s">
        <v>89</v>
      </c>
    </row>
    <row r="108" spans="1:5" x14ac:dyDescent="0.3">
      <c r="A108">
        <v>7</v>
      </c>
      <c r="B108" t="s">
        <v>183</v>
      </c>
      <c r="C108" t="s">
        <v>182</v>
      </c>
      <c r="D108" t="s">
        <v>176</v>
      </c>
      <c r="E108" t="s">
        <v>177</v>
      </c>
    </row>
    <row r="109" spans="1:5" x14ac:dyDescent="0.3">
      <c r="A109">
        <v>8</v>
      </c>
      <c r="B109" t="s">
        <v>183</v>
      </c>
      <c r="C109" t="s">
        <v>182</v>
      </c>
      <c r="D109" t="s">
        <v>46</v>
      </c>
      <c r="E109" t="s">
        <v>47</v>
      </c>
    </row>
    <row r="110" spans="1:5" x14ac:dyDescent="0.3">
      <c r="A110">
        <v>9</v>
      </c>
      <c r="B110" t="s">
        <v>183</v>
      </c>
      <c r="C110" t="s">
        <v>182</v>
      </c>
      <c r="D110" t="s">
        <v>192</v>
      </c>
      <c r="E110" t="s">
        <v>193</v>
      </c>
    </row>
    <row r="111" spans="1:5" x14ac:dyDescent="0.3">
      <c r="A111">
        <v>10</v>
      </c>
      <c r="B111" t="s">
        <v>183</v>
      </c>
      <c r="C111" t="s">
        <v>182</v>
      </c>
      <c r="D111" t="s">
        <v>194</v>
      </c>
      <c r="E111" t="s">
        <v>195</v>
      </c>
    </row>
    <row r="112" spans="1:5" x14ac:dyDescent="0.3">
      <c r="A112">
        <v>1</v>
      </c>
      <c r="B112" t="s">
        <v>197</v>
      </c>
      <c r="C112" t="s">
        <v>196</v>
      </c>
      <c r="D112" t="s">
        <v>68</v>
      </c>
      <c r="E112" t="s">
        <v>69</v>
      </c>
    </row>
    <row r="113" spans="1:5" x14ac:dyDescent="0.3">
      <c r="A113">
        <v>2</v>
      </c>
      <c r="B113" t="s">
        <v>197</v>
      </c>
      <c r="C113" t="s">
        <v>196</v>
      </c>
      <c r="D113" t="s">
        <v>72</v>
      </c>
      <c r="E113" t="s">
        <v>73</v>
      </c>
    </row>
    <row r="114" spans="1:5" x14ac:dyDescent="0.3">
      <c r="A114">
        <v>3</v>
      </c>
      <c r="B114" t="s">
        <v>197</v>
      </c>
      <c r="C114" t="s">
        <v>196</v>
      </c>
      <c r="D114" t="s">
        <v>198</v>
      </c>
      <c r="E114" t="s">
        <v>199</v>
      </c>
    </row>
    <row r="115" spans="1:5" x14ac:dyDescent="0.3">
      <c r="A115">
        <v>4</v>
      </c>
      <c r="B115" t="s">
        <v>197</v>
      </c>
      <c r="C115" t="s">
        <v>196</v>
      </c>
      <c r="D115" t="s">
        <v>200</v>
      </c>
      <c r="E115" t="s">
        <v>201</v>
      </c>
    </row>
    <row r="116" spans="1:5" x14ac:dyDescent="0.3">
      <c r="A116">
        <v>5</v>
      </c>
      <c r="B116" t="s">
        <v>197</v>
      </c>
      <c r="C116" t="s">
        <v>196</v>
      </c>
      <c r="D116" t="s">
        <v>76</v>
      </c>
      <c r="E116" t="s">
        <v>77</v>
      </c>
    </row>
    <row r="117" spans="1:5" x14ac:dyDescent="0.3">
      <c r="A117">
        <v>6</v>
      </c>
      <c r="B117" t="s">
        <v>197</v>
      </c>
      <c r="C117" t="s">
        <v>196</v>
      </c>
      <c r="D117" t="s">
        <v>78</v>
      </c>
      <c r="E117" t="s">
        <v>79</v>
      </c>
    </row>
    <row r="118" spans="1:5" x14ac:dyDescent="0.3">
      <c r="A118">
        <v>7</v>
      </c>
      <c r="B118" t="s">
        <v>197</v>
      </c>
      <c r="C118" t="s">
        <v>196</v>
      </c>
      <c r="D118" t="s">
        <v>74</v>
      </c>
      <c r="E118" t="s">
        <v>75</v>
      </c>
    </row>
    <row r="119" spans="1:5" x14ac:dyDescent="0.3">
      <c r="A119">
        <v>8</v>
      </c>
      <c r="B119" t="s">
        <v>197</v>
      </c>
      <c r="C119" t="s">
        <v>196</v>
      </c>
      <c r="D119" t="s">
        <v>70</v>
      </c>
      <c r="E119" t="s">
        <v>71</v>
      </c>
    </row>
    <row r="120" spans="1:5" x14ac:dyDescent="0.3">
      <c r="A120">
        <v>9</v>
      </c>
      <c r="B120" t="s">
        <v>197</v>
      </c>
      <c r="C120" t="s">
        <v>196</v>
      </c>
      <c r="D120" t="s">
        <v>82</v>
      </c>
      <c r="E120" t="s">
        <v>83</v>
      </c>
    </row>
    <row r="121" spans="1:5" x14ac:dyDescent="0.3">
      <c r="A121">
        <v>10</v>
      </c>
      <c r="B121" t="s">
        <v>197</v>
      </c>
      <c r="C121" t="s">
        <v>196</v>
      </c>
      <c r="D121" t="s">
        <v>202</v>
      </c>
      <c r="E121" t="s">
        <v>203</v>
      </c>
    </row>
    <row r="122" spans="1:5" x14ac:dyDescent="0.3">
      <c r="A122">
        <v>1</v>
      </c>
      <c r="B122" t="s">
        <v>205</v>
      </c>
      <c r="C122" t="s">
        <v>204</v>
      </c>
      <c r="D122" t="s">
        <v>206</v>
      </c>
      <c r="E122" t="s">
        <v>207</v>
      </c>
    </row>
    <row r="123" spans="1:5" x14ac:dyDescent="0.3">
      <c r="A123">
        <v>2</v>
      </c>
      <c r="B123" t="s">
        <v>205</v>
      </c>
      <c r="C123" t="s">
        <v>204</v>
      </c>
      <c r="D123" t="s">
        <v>186</v>
      </c>
      <c r="E123" t="s">
        <v>187</v>
      </c>
    </row>
    <row r="124" spans="1:5" x14ac:dyDescent="0.3">
      <c r="A124">
        <v>3</v>
      </c>
      <c r="B124" t="s">
        <v>205</v>
      </c>
      <c r="C124" t="s">
        <v>204</v>
      </c>
      <c r="D124" t="s">
        <v>188</v>
      </c>
      <c r="E124" t="s">
        <v>189</v>
      </c>
    </row>
    <row r="125" spans="1:5" x14ac:dyDescent="0.3">
      <c r="A125">
        <v>4</v>
      </c>
      <c r="B125" t="s">
        <v>205</v>
      </c>
      <c r="C125" t="s">
        <v>204</v>
      </c>
      <c r="D125" t="s">
        <v>190</v>
      </c>
      <c r="E125" t="s">
        <v>191</v>
      </c>
    </row>
    <row r="126" spans="1:5" x14ac:dyDescent="0.3">
      <c r="A126">
        <v>5</v>
      </c>
      <c r="B126" t="s">
        <v>205</v>
      </c>
      <c r="C126" t="s">
        <v>204</v>
      </c>
      <c r="D126" t="s">
        <v>208</v>
      </c>
      <c r="E126" t="s">
        <v>209</v>
      </c>
    </row>
    <row r="127" spans="1:5" x14ac:dyDescent="0.3">
      <c r="A127">
        <v>6</v>
      </c>
      <c r="B127" t="s">
        <v>205</v>
      </c>
      <c r="C127" t="s">
        <v>204</v>
      </c>
      <c r="D127" t="s">
        <v>102</v>
      </c>
      <c r="E127" t="s">
        <v>103</v>
      </c>
    </row>
    <row r="128" spans="1:5" x14ac:dyDescent="0.3">
      <c r="A128">
        <v>7</v>
      </c>
      <c r="B128" t="s">
        <v>205</v>
      </c>
      <c r="C128" t="s">
        <v>204</v>
      </c>
      <c r="D128" t="s">
        <v>210</v>
      </c>
      <c r="E128" t="s">
        <v>211</v>
      </c>
    </row>
    <row r="129" spans="1:5" x14ac:dyDescent="0.3">
      <c r="A129">
        <v>8</v>
      </c>
      <c r="B129" t="s">
        <v>205</v>
      </c>
      <c r="C129" t="s">
        <v>204</v>
      </c>
      <c r="D129" t="s">
        <v>212</v>
      </c>
      <c r="E129" t="s">
        <v>213</v>
      </c>
    </row>
    <row r="130" spans="1:5" x14ac:dyDescent="0.3">
      <c r="A130">
        <v>9</v>
      </c>
      <c r="B130" t="s">
        <v>205</v>
      </c>
      <c r="C130" t="s">
        <v>204</v>
      </c>
      <c r="D130" t="s">
        <v>166</v>
      </c>
      <c r="E130" t="s">
        <v>167</v>
      </c>
    </row>
    <row r="131" spans="1:5" x14ac:dyDescent="0.3">
      <c r="A131">
        <v>10</v>
      </c>
      <c r="B131" t="s">
        <v>205</v>
      </c>
      <c r="C131" t="s">
        <v>204</v>
      </c>
      <c r="D131" t="s">
        <v>184</v>
      </c>
      <c r="E131" t="s">
        <v>185</v>
      </c>
    </row>
    <row r="132" spans="1:5" x14ac:dyDescent="0.3">
      <c r="A132">
        <v>1</v>
      </c>
      <c r="B132" t="s">
        <v>215</v>
      </c>
      <c r="C132" t="s">
        <v>214</v>
      </c>
      <c r="D132" t="s">
        <v>216</v>
      </c>
      <c r="E132" t="s">
        <v>217</v>
      </c>
    </row>
    <row r="133" spans="1:5" x14ac:dyDescent="0.3">
      <c r="A133">
        <v>2</v>
      </c>
      <c r="B133" t="s">
        <v>215</v>
      </c>
      <c r="C133" t="s">
        <v>214</v>
      </c>
      <c r="D133" t="s">
        <v>218</v>
      </c>
      <c r="E133" t="s">
        <v>219</v>
      </c>
    </row>
    <row r="134" spans="1:5" x14ac:dyDescent="0.3">
      <c r="A134">
        <v>3</v>
      </c>
      <c r="B134" t="s">
        <v>215</v>
      </c>
      <c r="C134" t="s">
        <v>214</v>
      </c>
      <c r="D134" t="s">
        <v>78</v>
      </c>
      <c r="E134" t="s">
        <v>79</v>
      </c>
    </row>
    <row r="135" spans="1:5" x14ac:dyDescent="0.3">
      <c r="A135">
        <v>4</v>
      </c>
      <c r="B135" t="s">
        <v>215</v>
      </c>
      <c r="C135" t="s">
        <v>214</v>
      </c>
      <c r="D135" t="s">
        <v>220</v>
      </c>
      <c r="E135" t="s">
        <v>221</v>
      </c>
    </row>
    <row r="136" spans="1:5" x14ac:dyDescent="0.3">
      <c r="A136">
        <v>5</v>
      </c>
      <c r="B136" t="s">
        <v>215</v>
      </c>
      <c r="C136" t="s">
        <v>214</v>
      </c>
      <c r="D136" t="s">
        <v>162</v>
      </c>
      <c r="E136" t="s">
        <v>163</v>
      </c>
    </row>
    <row r="137" spans="1:5" x14ac:dyDescent="0.3">
      <c r="A137">
        <v>6</v>
      </c>
      <c r="B137" t="s">
        <v>215</v>
      </c>
      <c r="C137" t="s">
        <v>214</v>
      </c>
      <c r="D137" t="s">
        <v>106</v>
      </c>
      <c r="E137" t="s">
        <v>107</v>
      </c>
    </row>
    <row r="138" spans="1:5" x14ac:dyDescent="0.3">
      <c r="A138">
        <v>7</v>
      </c>
      <c r="B138" t="s">
        <v>215</v>
      </c>
      <c r="C138" t="s">
        <v>214</v>
      </c>
      <c r="D138" t="s">
        <v>109</v>
      </c>
      <c r="E138" t="s">
        <v>108</v>
      </c>
    </row>
    <row r="139" spans="1:5" x14ac:dyDescent="0.3">
      <c r="A139">
        <v>8</v>
      </c>
      <c r="B139" t="s">
        <v>215</v>
      </c>
      <c r="C139" t="s">
        <v>214</v>
      </c>
      <c r="D139" t="s">
        <v>222</v>
      </c>
      <c r="E139" t="s">
        <v>223</v>
      </c>
    </row>
    <row r="140" spans="1:5" x14ac:dyDescent="0.3">
      <c r="A140">
        <v>9</v>
      </c>
      <c r="B140" t="s">
        <v>215</v>
      </c>
      <c r="C140" t="s">
        <v>214</v>
      </c>
      <c r="D140" t="s">
        <v>224</v>
      </c>
      <c r="E140" t="s">
        <v>225</v>
      </c>
    </row>
    <row r="141" spans="1:5" x14ac:dyDescent="0.3">
      <c r="A141">
        <v>10</v>
      </c>
      <c r="B141" t="s">
        <v>215</v>
      </c>
      <c r="C141" t="s">
        <v>214</v>
      </c>
      <c r="D141" t="s">
        <v>226</v>
      </c>
      <c r="E141" t="s">
        <v>227</v>
      </c>
    </row>
    <row r="142" spans="1:5" x14ac:dyDescent="0.3">
      <c r="A142">
        <v>1</v>
      </c>
      <c r="B142" t="s">
        <v>229</v>
      </c>
      <c r="C142" t="s">
        <v>228</v>
      </c>
      <c r="D142" t="s">
        <v>180</v>
      </c>
      <c r="E142" t="s">
        <v>181</v>
      </c>
    </row>
    <row r="143" spans="1:5" x14ac:dyDescent="0.3">
      <c r="A143">
        <v>2</v>
      </c>
      <c r="B143" t="s">
        <v>229</v>
      </c>
      <c r="C143" t="s">
        <v>228</v>
      </c>
      <c r="D143" t="s">
        <v>230</v>
      </c>
      <c r="E143" t="s">
        <v>231</v>
      </c>
    </row>
    <row r="144" spans="1:5" x14ac:dyDescent="0.3">
      <c r="A144">
        <v>3</v>
      </c>
      <c r="B144" t="s">
        <v>229</v>
      </c>
      <c r="C144" t="s">
        <v>228</v>
      </c>
      <c r="D144" t="s">
        <v>188</v>
      </c>
      <c r="E144" t="s">
        <v>189</v>
      </c>
    </row>
    <row r="145" spans="1:5" x14ac:dyDescent="0.3">
      <c r="A145">
        <v>4</v>
      </c>
      <c r="B145" t="s">
        <v>229</v>
      </c>
      <c r="C145" t="s">
        <v>228</v>
      </c>
      <c r="D145" t="s">
        <v>136</v>
      </c>
      <c r="E145" t="s">
        <v>137</v>
      </c>
    </row>
    <row r="146" spans="1:5" x14ac:dyDescent="0.3">
      <c r="A146">
        <v>5</v>
      </c>
      <c r="B146" t="s">
        <v>229</v>
      </c>
      <c r="C146" t="s">
        <v>228</v>
      </c>
      <c r="D146" t="s">
        <v>158</v>
      </c>
      <c r="E146" t="s">
        <v>159</v>
      </c>
    </row>
    <row r="147" spans="1:5" x14ac:dyDescent="0.3">
      <c r="A147">
        <v>6</v>
      </c>
      <c r="B147" t="s">
        <v>229</v>
      </c>
      <c r="C147" t="s">
        <v>228</v>
      </c>
      <c r="D147" t="s">
        <v>148</v>
      </c>
      <c r="E147" t="s">
        <v>149</v>
      </c>
    </row>
    <row r="148" spans="1:5" x14ac:dyDescent="0.3">
      <c r="A148">
        <v>7</v>
      </c>
      <c r="B148" t="s">
        <v>229</v>
      </c>
      <c r="C148" t="s">
        <v>228</v>
      </c>
      <c r="D148" t="s">
        <v>232</v>
      </c>
      <c r="E148" t="s">
        <v>233</v>
      </c>
    </row>
    <row r="149" spans="1:5" x14ac:dyDescent="0.3">
      <c r="A149">
        <v>8</v>
      </c>
      <c r="B149" t="s">
        <v>229</v>
      </c>
      <c r="C149" t="s">
        <v>228</v>
      </c>
      <c r="D149" t="s">
        <v>90</v>
      </c>
      <c r="E149" t="s">
        <v>91</v>
      </c>
    </row>
    <row r="150" spans="1:5" x14ac:dyDescent="0.3">
      <c r="A150">
        <v>9</v>
      </c>
      <c r="B150" t="s">
        <v>229</v>
      </c>
      <c r="C150" t="s">
        <v>228</v>
      </c>
      <c r="D150" t="s">
        <v>23</v>
      </c>
      <c r="E150" t="s">
        <v>24</v>
      </c>
    </row>
    <row r="151" spans="1:5" x14ac:dyDescent="0.3">
      <c r="A151">
        <v>10</v>
      </c>
      <c r="B151" t="s">
        <v>229</v>
      </c>
      <c r="C151" t="s">
        <v>228</v>
      </c>
      <c r="D151" t="s">
        <v>234</v>
      </c>
      <c r="E151" t="s">
        <v>235</v>
      </c>
    </row>
    <row r="152" spans="1:5" x14ac:dyDescent="0.3">
      <c r="A152">
        <v>1</v>
      </c>
      <c r="B152" t="s">
        <v>237</v>
      </c>
      <c r="C152" t="s">
        <v>236</v>
      </c>
      <c r="D152" t="s">
        <v>238</v>
      </c>
      <c r="E152" t="s">
        <v>239</v>
      </c>
    </row>
    <row r="153" spans="1:5" x14ac:dyDescent="0.3">
      <c r="A153">
        <v>2</v>
      </c>
      <c r="B153" t="s">
        <v>237</v>
      </c>
      <c r="C153" t="s">
        <v>236</v>
      </c>
      <c r="D153" t="s">
        <v>70</v>
      </c>
      <c r="E153" t="s">
        <v>71</v>
      </c>
    </row>
    <row r="154" spans="1:5" x14ac:dyDescent="0.3">
      <c r="A154">
        <v>3</v>
      </c>
      <c r="B154" t="s">
        <v>237</v>
      </c>
      <c r="C154" t="s">
        <v>236</v>
      </c>
      <c r="D154" t="s">
        <v>240</v>
      </c>
      <c r="E154" t="s">
        <v>241</v>
      </c>
    </row>
    <row r="155" spans="1:5" x14ac:dyDescent="0.3">
      <c r="A155">
        <v>4</v>
      </c>
      <c r="B155" t="s">
        <v>237</v>
      </c>
      <c r="C155" t="s">
        <v>236</v>
      </c>
      <c r="D155" t="s">
        <v>112</v>
      </c>
      <c r="E155" t="s">
        <v>113</v>
      </c>
    </row>
    <row r="156" spans="1:5" x14ac:dyDescent="0.3">
      <c r="A156">
        <v>5</v>
      </c>
      <c r="B156" t="s">
        <v>237</v>
      </c>
      <c r="C156" t="s">
        <v>236</v>
      </c>
      <c r="D156" t="s">
        <v>242</v>
      </c>
      <c r="E156" t="s">
        <v>243</v>
      </c>
    </row>
    <row r="157" spans="1:5" x14ac:dyDescent="0.3">
      <c r="A157">
        <v>6</v>
      </c>
      <c r="B157" t="s">
        <v>237</v>
      </c>
      <c r="C157" t="s">
        <v>236</v>
      </c>
      <c r="D157" t="s">
        <v>41</v>
      </c>
      <c r="E157" t="s">
        <v>42</v>
      </c>
    </row>
    <row r="158" spans="1:5" x14ac:dyDescent="0.3">
      <c r="A158">
        <v>7</v>
      </c>
      <c r="B158" t="s">
        <v>237</v>
      </c>
      <c r="C158" t="s">
        <v>236</v>
      </c>
      <c r="D158" t="s">
        <v>78</v>
      </c>
      <c r="E158" t="s">
        <v>79</v>
      </c>
    </row>
    <row r="159" spans="1:5" x14ac:dyDescent="0.3">
      <c r="A159">
        <v>8</v>
      </c>
      <c r="B159" t="s">
        <v>237</v>
      </c>
      <c r="C159" t="s">
        <v>236</v>
      </c>
      <c r="D159" t="s">
        <v>50</v>
      </c>
      <c r="E159" t="s">
        <v>51</v>
      </c>
    </row>
    <row r="160" spans="1:5" x14ac:dyDescent="0.3">
      <c r="A160">
        <v>9</v>
      </c>
      <c r="B160" t="s">
        <v>237</v>
      </c>
      <c r="C160" t="s">
        <v>236</v>
      </c>
      <c r="D160" t="s">
        <v>110</v>
      </c>
      <c r="E160" t="s">
        <v>111</v>
      </c>
    </row>
    <row r="161" spans="1:5" x14ac:dyDescent="0.3">
      <c r="A161">
        <v>1</v>
      </c>
      <c r="B161" t="s">
        <v>245</v>
      </c>
      <c r="C161" t="s">
        <v>244</v>
      </c>
      <c r="D161" t="s">
        <v>15</v>
      </c>
      <c r="E161" t="s">
        <v>16</v>
      </c>
    </row>
    <row r="162" spans="1:5" x14ac:dyDescent="0.3">
      <c r="A162">
        <v>2</v>
      </c>
      <c r="B162" t="s">
        <v>245</v>
      </c>
      <c r="C162" t="s">
        <v>244</v>
      </c>
      <c r="D162" t="s">
        <v>90</v>
      </c>
      <c r="E162" t="s">
        <v>91</v>
      </c>
    </row>
    <row r="163" spans="1:5" x14ac:dyDescent="0.3">
      <c r="A163">
        <v>3</v>
      </c>
      <c r="B163" t="s">
        <v>245</v>
      </c>
      <c r="C163" t="s">
        <v>244</v>
      </c>
      <c r="D163" t="s">
        <v>86</v>
      </c>
      <c r="E163" t="s">
        <v>87</v>
      </c>
    </row>
    <row r="164" spans="1:5" x14ac:dyDescent="0.3">
      <c r="A164">
        <v>4</v>
      </c>
      <c r="B164" t="s">
        <v>245</v>
      </c>
      <c r="C164" t="s">
        <v>244</v>
      </c>
      <c r="D164" t="s">
        <v>98</v>
      </c>
      <c r="E164" t="s">
        <v>99</v>
      </c>
    </row>
    <row r="165" spans="1:5" x14ac:dyDescent="0.3">
      <c r="A165">
        <v>5</v>
      </c>
      <c r="B165" t="s">
        <v>245</v>
      </c>
      <c r="C165" t="s">
        <v>244</v>
      </c>
      <c r="D165" t="s">
        <v>94</v>
      </c>
      <c r="E165" t="s">
        <v>95</v>
      </c>
    </row>
    <row r="166" spans="1:5" x14ac:dyDescent="0.3">
      <c r="A166">
        <v>6</v>
      </c>
      <c r="B166" t="s">
        <v>245</v>
      </c>
      <c r="C166" t="s">
        <v>244</v>
      </c>
      <c r="D166" t="s">
        <v>28</v>
      </c>
      <c r="E166" t="s">
        <v>29</v>
      </c>
    </row>
    <row r="167" spans="1:5" x14ac:dyDescent="0.3">
      <c r="A167">
        <v>7</v>
      </c>
      <c r="B167" t="s">
        <v>245</v>
      </c>
      <c r="C167" t="s">
        <v>244</v>
      </c>
      <c r="D167" t="s">
        <v>37</v>
      </c>
      <c r="E167" t="s">
        <v>38</v>
      </c>
    </row>
    <row r="168" spans="1:5" x14ac:dyDescent="0.3">
      <c r="A168">
        <v>8</v>
      </c>
      <c r="B168" t="s">
        <v>245</v>
      </c>
      <c r="C168" t="s">
        <v>244</v>
      </c>
      <c r="D168" t="s">
        <v>18</v>
      </c>
      <c r="E168" t="s">
        <v>19</v>
      </c>
    </row>
    <row r="169" spans="1:5" x14ac:dyDescent="0.3">
      <c r="A169">
        <v>9</v>
      </c>
      <c r="B169" t="s">
        <v>245</v>
      </c>
      <c r="C169" t="s">
        <v>244</v>
      </c>
      <c r="D169" t="s">
        <v>30</v>
      </c>
      <c r="E169" t="s">
        <v>31</v>
      </c>
    </row>
    <row r="170" spans="1:5" x14ac:dyDescent="0.3">
      <c r="A170">
        <v>10</v>
      </c>
      <c r="B170" t="s">
        <v>245</v>
      </c>
      <c r="C170" t="s">
        <v>244</v>
      </c>
      <c r="D170" t="s">
        <v>144</v>
      </c>
      <c r="E170" t="s">
        <v>145</v>
      </c>
    </row>
    <row r="171" spans="1:5" x14ac:dyDescent="0.3">
      <c r="A171">
        <v>1</v>
      </c>
      <c r="B171" t="s">
        <v>247</v>
      </c>
      <c r="C171" t="s">
        <v>246</v>
      </c>
      <c r="D171" t="s">
        <v>180</v>
      </c>
      <c r="E171" t="s">
        <v>181</v>
      </c>
    </row>
    <row r="172" spans="1:5" x14ac:dyDescent="0.3">
      <c r="A172">
        <v>2</v>
      </c>
      <c r="B172" t="s">
        <v>247</v>
      </c>
      <c r="C172" t="s">
        <v>246</v>
      </c>
      <c r="D172" t="s">
        <v>43</v>
      </c>
      <c r="E172" t="s">
        <v>44</v>
      </c>
    </row>
    <row r="173" spans="1:5" x14ac:dyDescent="0.3">
      <c r="A173">
        <v>3</v>
      </c>
      <c r="B173" t="s">
        <v>247</v>
      </c>
      <c r="C173" t="s">
        <v>246</v>
      </c>
      <c r="D173" t="s">
        <v>90</v>
      </c>
      <c r="E173" t="s">
        <v>91</v>
      </c>
    </row>
    <row r="174" spans="1:5" x14ac:dyDescent="0.3">
      <c r="A174">
        <v>4</v>
      </c>
      <c r="B174" t="s">
        <v>247</v>
      </c>
      <c r="C174" t="s">
        <v>246</v>
      </c>
      <c r="D174" t="s">
        <v>248</v>
      </c>
      <c r="E174" t="s">
        <v>249</v>
      </c>
    </row>
    <row r="175" spans="1:5" x14ac:dyDescent="0.3">
      <c r="A175">
        <v>5</v>
      </c>
      <c r="B175" t="s">
        <v>247</v>
      </c>
      <c r="C175" t="s">
        <v>246</v>
      </c>
      <c r="D175" t="s">
        <v>250</v>
      </c>
      <c r="E175" t="s">
        <v>251</v>
      </c>
    </row>
    <row r="176" spans="1:5" x14ac:dyDescent="0.3">
      <c r="A176">
        <v>6</v>
      </c>
      <c r="B176" t="s">
        <v>247</v>
      </c>
      <c r="C176" t="s">
        <v>246</v>
      </c>
      <c r="D176" t="s">
        <v>230</v>
      </c>
      <c r="E176" t="s">
        <v>231</v>
      </c>
    </row>
    <row r="177" spans="1:5" x14ac:dyDescent="0.3">
      <c r="A177">
        <v>7</v>
      </c>
      <c r="B177" t="s">
        <v>247</v>
      </c>
      <c r="C177" t="s">
        <v>246</v>
      </c>
      <c r="D177" t="s">
        <v>252</v>
      </c>
      <c r="E177" t="s">
        <v>253</v>
      </c>
    </row>
    <row r="178" spans="1:5" x14ac:dyDescent="0.3">
      <c r="A178">
        <v>8</v>
      </c>
      <c r="B178" t="s">
        <v>247</v>
      </c>
      <c r="C178" t="s">
        <v>246</v>
      </c>
      <c r="D178" t="s">
        <v>18</v>
      </c>
      <c r="E178" t="s">
        <v>19</v>
      </c>
    </row>
    <row r="179" spans="1:5" x14ac:dyDescent="0.3">
      <c r="A179">
        <v>9</v>
      </c>
      <c r="B179" t="s">
        <v>247</v>
      </c>
      <c r="C179" t="s">
        <v>246</v>
      </c>
      <c r="D179" t="s">
        <v>158</v>
      </c>
      <c r="E179" t="s">
        <v>159</v>
      </c>
    </row>
    <row r="180" spans="1:5" x14ac:dyDescent="0.3">
      <c r="A180">
        <v>10</v>
      </c>
      <c r="B180" t="s">
        <v>247</v>
      </c>
      <c r="C180" t="s">
        <v>246</v>
      </c>
      <c r="D180" t="s">
        <v>254</v>
      </c>
      <c r="E180" t="s">
        <v>255</v>
      </c>
    </row>
    <row r="181" spans="1:5" x14ac:dyDescent="0.3">
      <c r="A181">
        <v>1</v>
      </c>
      <c r="B181" t="s">
        <v>257</v>
      </c>
      <c r="C181" t="s">
        <v>256</v>
      </c>
      <c r="D181" t="s">
        <v>258</v>
      </c>
      <c r="E181" t="s">
        <v>259</v>
      </c>
    </row>
    <row r="182" spans="1:5" x14ac:dyDescent="0.3">
      <c r="A182">
        <v>2</v>
      </c>
      <c r="B182" t="s">
        <v>257</v>
      </c>
      <c r="C182" t="s">
        <v>256</v>
      </c>
      <c r="D182" t="s">
        <v>260</v>
      </c>
      <c r="E182" t="s">
        <v>261</v>
      </c>
    </row>
    <row r="183" spans="1:5" x14ac:dyDescent="0.3">
      <c r="A183">
        <v>3</v>
      </c>
      <c r="B183" t="s">
        <v>257</v>
      </c>
      <c r="C183" t="s">
        <v>256</v>
      </c>
      <c r="D183" t="s">
        <v>262</v>
      </c>
      <c r="E183" t="s">
        <v>263</v>
      </c>
    </row>
    <row r="184" spans="1:5" x14ac:dyDescent="0.3">
      <c r="A184">
        <v>4</v>
      </c>
      <c r="B184" t="s">
        <v>257</v>
      </c>
      <c r="C184" t="s">
        <v>256</v>
      </c>
      <c r="D184" t="s">
        <v>265</v>
      </c>
      <c r="E184" t="s">
        <v>266</v>
      </c>
    </row>
    <row r="185" spans="1:5" x14ac:dyDescent="0.3">
      <c r="A185">
        <v>5</v>
      </c>
      <c r="B185" t="s">
        <v>257</v>
      </c>
      <c r="C185" t="s">
        <v>256</v>
      </c>
      <c r="D185" t="s">
        <v>267</v>
      </c>
      <c r="E185" t="s">
        <v>268</v>
      </c>
    </row>
    <row r="186" spans="1:5" x14ac:dyDescent="0.3">
      <c r="A186">
        <v>6</v>
      </c>
      <c r="B186" t="s">
        <v>257</v>
      </c>
      <c r="C186" t="s">
        <v>256</v>
      </c>
      <c r="D186" t="s">
        <v>269</v>
      </c>
      <c r="E186" t="s">
        <v>270</v>
      </c>
    </row>
    <row r="187" spans="1:5" x14ac:dyDescent="0.3">
      <c r="A187">
        <v>7</v>
      </c>
      <c r="B187" t="s">
        <v>257</v>
      </c>
      <c r="C187" t="s">
        <v>256</v>
      </c>
      <c r="D187" t="s">
        <v>110</v>
      </c>
      <c r="E187" t="s">
        <v>111</v>
      </c>
    </row>
    <row r="188" spans="1:5" x14ac:dyDescent="0.3">
      <c r="A188">
        <v>8</v>
      </c>
      <c r="B188" t="s">
        <v>257</v>
      </c>
      <c r="C188" t="s">
        <v>256</v>
      </c>
      <c r="D188" t="s">
        <v>102</v>
      </c>
      <c r="E188" t="s">
        <v>103</v>
      </c>
    </row>
    <row r="189" spans="1:5" x14ac:dyDescent="0.3">
      <c r="A189">
        <v>9</v>
      </c>
      <c r="B189" t="s">
        <v>257</v>
      </c>
      <c r="C189" t="s">
        <v>256</v>
      </c>
      <c r="D189" t="s">
        <v>56</v>
      </c>
      <c r="E189" t="s">
        <v>57</v>
      </c>
    </row>
    <row r="190" spans="1:5" x14ac:dyDescent="0.3">
      <c r="A190">
        <v>10</v>
      </c>
      <c r="B190" t="s">
        <v>257</v>
      </c>
      <c r="C190" t="s">
        <v>256</v>
      </c>
      <c r="D190" t="s">
        <v>271</v>
      </c>
      <c r="E190" t="s">
        <v>272</v>
      </c>
    </row>
    <row r="191" spans="1:5" x14ac:dyDescent="0.3">
      <c r="A191">
        <v>1</v>
      </c>
      <c r="B191" t="s">
        <v>274</v>
      </c>
      <c r="C191" t="s">
        <v>273</v>
      </c>
      <c r="D191" t="s">
        <v>46</v>
      </c>
      <c r="E191" t="s">
        <v>47</v>
      </c>
    </row>
    <row r="192" spans="1:5" x14ac:dyDescent="0.3">
      <c r="A192">
        <v>2</v>
      </c>
      <c r="B192" t="s">
        <v>274</v>
      </c>
      <c r="C192" t="s">
        <v>273</v>
      </c>
      <c r="D192" t="s">
        <v>50</v>
      </c>
      <c r="E192" t="s">
        <v>51</v>
      </c>
    </row>
    <row r="193" spans="1:5" x14ac:dyDescent="0.3">
      <c r="A193">
        <v>3</v>
      </c>
      <c r="B193" t="s">
        <v>274</v>
      </c>
      <c r="C193" t="s">
        <v>273</v>
      </c>
      <c r="D193" t="s">
        <v>275</v>
      </c>
      <c r="E193" t="s">
        <v>276</v>
      </c>
    </row>
    <row r="194" spans="1:5" x14ac:dyDescent="0.3">
      <c r="A194">
        <v>4</v>
      </c>
      <c r="B194" t="s">
        <v>274</v>
      </c>
      <c r="C194" t="s">
        <v>273</v>
      </c>
      <c r="D194" t="s">
        <v>277</v>
      </c>
      <c r="E194" t="s">
        <v>278</v>
      </c>
    </row>
    <row r="195" spans="1:5" x14ac:dyDescent="0.3">
      <c r="A195">
        <v>5</v>
      </c>
      <c r="B195" t="s">
        <v>274</v>
      </c>
      <c r="C195" t="s">
        <v>273</v>
      </c>
      <c r="D195" t="s">
        <v>279</v>
      </c>
      <c r="E195" t="s">
        <v>280</v>
      </c>
    </row>
    <row r="196" spans="1:5" x14ac:dyDescent="0.3">
      <c r="A196">
        <v>6</v>
      </c>
      <c r="B196" t="s">
        <v>274</v>
      </c>
      <c r="C196" t="s">
        <v>273</v>
      </c>
      <c r="D196" t="s">
        <v>41</v>
      </c>
      <c r="E196" t="s">
        <v>42</v>
      </c>
    </row>
    <row r="197" spans="1:5" x14ac:dyDescent="0.3">
      <c r="A197">
        <v>7</v>
      </c>
      <c r="B197" t="s">
        <v>274</v>
      </c>
      <c r="C197" t="s">
        <v>273</v>
      </c>
      <c r="D197" t="s">
        <v>109</v>
      </c>
      <c r="E197" t="s">
        <v>108</v>
      </c>
    </row>
    <row r="198" spans="1:5" x14ac:dyDescent="0.3">
      <c r="A198">
        <v>8</v>
      </c>
      <c r="B198" t="s">
        <v>274</v>
      </c>
      <c r="C198" t="s">
        <v>273</v>
      </c>
      <c r="D198" t="s">
        <v>281</v>
      </c>
      <c r="E198" t="s">
        <v>282</v>
      </c>
    </row>
    <row r="199" spans="1:5" x14ac:dyDescent="0.3">
      <c r="A199">
        <v>9</v>
      </c>
      <c r="B199" t="s">
        <v>274</v>
      </c>
      <c r="C199" t="s">
        <v>273</v>
      </c>
      <c r="D199" t="s">
        <v>283</v>
      </c>
      <c r="E199" t="s">
        <v>284</v>
      </c>
    </row>
    <row r="200" spans="1:5" x14ac:dyDescent="0.3">
      <c r="A200">
        <v>10</v>
      </c>
      <c r="B200" t="s">
        <v>274</v>
      </c>
      <c r="C200" t="s">
        <v>273</v>
      </c>
      <c r="D200" t="s">
        <v>285</v>
      </c>
      <c r="E200" t="s">
        <v>286</v>
      </c>
    </row>
    <row r="201" spans="1:5" x14ac:dyDescent="0.3">
      <c r="A201">
        <v>1</v>
      </c>
      <c r="B201" t="s">
        <v>288</v>
      </c>
      <c r="C201" t="s">
        <v>287</v>
      </c>
      <c r="D201" t="s">
        <v>258</v>
      </c>
      <c r="E201" t="s">
        <v>259</v>
      </c>
    </row>
    <row r="202" spans="1:5" x14ac:dyDescent="0.3">
      <c r="A202">
        <v>2</v>
      </c>
      <c r="B202" t="s">
        <v>288</v>
      </c>
      <c r="C202" t="s">
        <v>287</v>
      </c>
      <c r="D202" t="s">
        <v>289</v>
      </c>
      <c r="E202" t="s">
        <v>290</v>
      </c>
    </row>
    <row r="203" spans="1:5" x14ac:dyDescent="0.3">
      <c r="A203">
        <v>3</v>
      </c>
      <c r="B203" t="s">
        <v>288</v>
      </c>
      <c r="C203" t="s">
        <v>287</v>
      </c>
      <c r="D203" t="s">
        <v>291</v>
      </c>
      <c r="E203" t="s">
        <v>292</v>
      </c>
    </row>
    <row r="204" spans="1:5" x14ac:dyDescent="0.3">
      <c r="A204">
        <v>4</v>
      </c>
      <c r="B204" t="s">
        <v>288</v>
      </c>
      <c r="C204" t="s">
        <v>287</v>
      </c>
      <c r="D204" t="s">
        <v>130</v>
      </c>
      <c r="E204" t="s">
        <v>131</v>
      </c>
    </row>
    <row r="205" spans="1:5" x14ac:dyDescent="0.3">
      <c r="A205">
        <v>5</v>
      </c>
      <c r="B205" t="s">
        <v>288</v>
      </c>
      <c r="C205" t="s">
        <v>287</v>
      </c>
      <c r="D205" t="s">
        <v>122</v>
      </c>
      <c r="E205" t="s">
        <v>123</v>
      </c>
    </row>
    <row r="206" spans="1:5" x14ac:dyDescent="0.3">
      <c r="A206">
        <v>6</v>
      </c>
      <c r="B206" t="s">
        <v>288</v>
      </c>
      <c r="C206" t="s">
        <v>287</v>
      </c>
      <c r="D206" t="s">
        <v>293</v>
      </c>
      <c r="E206" t="s">
        <v>294</v>
      </c>
    </row>
    <row r="207" spans="1:5" x14ac:dyDescent="0.3">
      <c r="A207">
        <v>7</v>
      </c>
      <c r="B207" t="s">
        <v>288</v>
      </c>
      <c r="C207" t="s">
        <v>287</v>
      </c>
      <c r="D207" t="s">
        <v>240</v>
      </c>
      <c r="E207" t="s">
        <v>241</v>
      </c>
    </row>
    <row r="208" spans="1:5" x14ac:dyDescent="0.3">
      <c r="A208">
        <v>8</v>
      </c>
      <c r="B208" t="s">
        <v>288</v>
      </c>
      <c r="C208" t="s">
        <v>287</v>
      </c>
      <c r="D208" t="s">
        <v>295</v>
      </c>
      <c r="E208" t="s">
        <v>296</v>
      </c>
    </row>
    <row r="209" spans="1:5" x14ac:dyDescent="0.3">
      <c r="A209">
        <v>9</v>
      </c>
      <c r="B209" t="s">
        <v>288</v>
      </c>
      <c r="C209" t="s">
        <v>287</v>
      </c>
      <c r="D209" t="s">
        <v>265</v>
      </c>
      <c r="E209" t="s">
        <v>266</v>
      </c>
    </row>
    <row r="210" spans="1:5" x14ac:dyDescent="0.3">
      <c r="A210">
        <v>10</v>
      </c>
      <c r="B210" t="s">
        <v>288</v>
      </c>
      <c r="C210" t="s">
        <v>287</v>
      </c>
      <c r="D210" t="s">
        <v>132</v>
      </c>
      <c r="E210" t="s">
        <v>133</v>
      </c>
    </row>
    <row r="211" spans="1:5" x14ac:dyDescent="0.3">
      <c r="A211">
        <v>1</v>
      </c>
      <c r="B211" t="s">
        <v>298</v>
      </c>
      <c r="C211" t="s">
        <v>297</v>
      </c>
      <c r="D211" t="s">
        <v>180</v>
      </c>
      <c r="E211" t="s">
        <v>181</v>
      </c>
    </row>
    <row r="212" spans="1:5" x14ac:dyDescent="0.3">
      <c r="A212">
        <v>2</v>
      </c>
      <c r="B212" t="s">
        <v>298</v>
      </c>
      <c r="C212" t="s">
        <v>297</v>
      </c>
      <c r="D212" t="s">
        <v>299</v>
      </c>
      <c r="E212" t="s">
        <v>300</v>
      </c>
    </row>
    <row r="213" spans="1:5" x14ac:dyDescent="0.3">
      <c r="A213">
        <v>3</v>
      </c>
      <c r="B213" t="s">
        <v>298</v>
      </c>
      <c r="C213" t="s">
        <v>297</v>
      </c>
      <c r="D213" t="s">
        <v>78</v>
      </c>
      <c r="E213" t="s">
        <v>79</v>
      </c>
    </row>
    <row r="214" spans="1:5" x14ac:dyDescent="0.3">
      <c r="A214">
        <v>4</v>
      </c>
      <c r="B214" t="s">
        <v>298</v>
      </c>
      <c r="C214" t="s">
        <v>297</v>
      </c>
      <c r="D214" t="s">
        <v>158</v>
      </c>
      <c r="E214" t="s">
        <v>159</v>
      </c>
    </row>
    <row r="215" spans="1:5" x14ac:dyDescent="0.3">
      <c r="A215">
        <v>5</v>
      </c>
      <c r="B215" t="s">
        <v>298</v>
      </c>
      <c r="C215" t="s">
        <v>297</v>
      </c>
      <c r="D215" t="s">
        <v>90</v>
      </c>
      <c r="E215" t="s">
        <v>91</v>
      </c>
    </row>
    <row r="216" spans="1:5" x14ac:dyDescent="0.3">
      <c r="A216">
        <v>6</v>
      </c>
      <c r="B216" t="s">
        <v>298</v>
      </c>
      <c r="C216" t="s">
        <v>297</v>
      </c>
      <c r="D216" t="s">
        <v>68</v>
      </c>
      <c r="E216" t="s">
        <v>69</v>
      </c>
    </row>
    <row r="217" spans="1:5" x14ac:dyDescent="0.3">
      <c r="A217">
        <v>7</v>
      </c>
      <c r="B217" t="s">
        <v>298</v>
      </c>
      <c r="C217" t="s">
        <v>297</v>
      </c>
      <c r="D217" t="s">
        <v>301</v>
      </c>
      <c r="E217" t="s">
        <v>302</v>
      </c>
    </row>
    <row r="218" spans="1:5" x14ac:dyDescent="0.3">
      <c r="A218">
        <v>8</v>
      </c>
      <c r="B218" t="s">
        <v>298</v>
      </c>
      <c r="C218" t="s">
        <v>297</v>
      </c>
      <c r="D218" t="s">
        <v>248</v>
      </c>
      <c r="E218" t="s">
        <v>249</v>
      </c>
    </row>
    <row r="219" spans="1:5" x14ac:dyDescent="0.3">
      <c r="A219">
        <v>9</v>
      </c>
      <c r="B219" t="s">
        <v>298</v>
      </c>
      <c r="C219" t="s">
        <v>297</v>
      </c>
      <c r="D219" t="s">
        <v>303</v>
      </c>
      <c r="E219" t="s">
        <v>304</v>
      </c>
    </row>
    <row r="220" spans="1:5" x14ac:dyDescent="0.3">
      <c r="A220">
        <v>10</v>
      </c>
      <c r="B220" t="s">
        <v>298</v>
      </c>
      <c r="C220" t="s">
        <v>297</v>
      </c>
      <c r="D220" t="s">
        <v>76</v>
      </c>
      <c r="E220" t="s">
        <v>77</v>
      </c>
    </row>
    <row r="221" spans="1:5" x14ac:dyDescent="0.3">
      <c r="A221">
        <v>1</v>
      </c>
      <c r="B221" t="s">
        <v>306</v>
      </c>
      <c r="C221" t="s">
        <v>305</v>
      </c>
      <c r="D221" t="s">
        <v>120</v>
      </c>
      <c r="E221" t="s">
        <v>121</v>
      </c>
    </row>
    <row r="222" spans="1:5" x14ac:dyDescent="0.3">
      <c r="A222">
        <v>2</v>
      </c>
      <c r="B222" t="s">
        <v>306</v>
      </c>
      <c r="C222" t="s">
        <v>305</v>
      </c>
      <c r="D222" t="s">
        <v>116</v>
      </c>
      <c r="E222" t="s">
        <v>117</v>
      </c>
    </row>
    <row r="223" spans="1:5" x14ac:dyDescent="0.3">
      <c r="A223">
        <v>3</v>
      </c>
      <c r="B223" t="s">
        <v>306</v>
      </c>
      <c r="C223" t="s">
        <v>305</v>
      </c>
      <c r="D223" t="s">
        <v>307</v>
      </c>
      <c r="E223" t="s">
        <v>308</v>
      </c>
    </row>
    <row r="224" spans="1:5" x14ac:dyDescent="0.3">
      <c r="A224">
        <v>4</v>
      </c>
      <c r="B224" t="s">
        <v>306</v>
      </c>
      <c r="C224" t="s">
        <v>305</v>
      </c>
      <c r="D224" t="s">
        <v>234</v>
      </c>
      <c r="E224" t="s">
        <v>235</v>
      </c>
    </row>
    <row r="225" spans="1:5" x14ac:dyDescent="0.3">
      <c r="A225">
        <v>5</v>
      </c>
      <c r="B225" t="s">
        <v>306</v>
      </c>
      <c r="C225" t="s">
        <v>305</v>
      </c>
      <c r="D225" t="s">
        <v>128</v>
      </c>
      <c r="E225" t="s">
        <v>129</v>
      </c>
    </row>
    <row r="226" spans="1:5" x14ac:dyDescent="0.3">
      <c r="A226">
        <v>6</v>
      </c>
      <c r="B226" t="s">
        <v>306</v>
      </c>
      <c r="C226" t="s">
        <v>305</v>
      </c>
      <c r="D226" t="s">
        <v>240</v>
      </c>
      <c r="E226" t="s">
        <v>241</v>
      </c>
    </row>
    <row r="227" spans="1:5" x14ac:dyDescent="0.3">
      <c r="A227">
        <v>7</v>
      </c>
      <c r="B227" t="s">
        <v>306</v>
      </c>
      <c r="C227" t="s">
        <v>305</v>
      </c>
      <c r="D227" t="s">
        <v>126</v>
      </c>
      <c r="E227" t="s">
        <v>127</v>
      </c>
    </row>
    <row r="228" spans="1:5" x14ac:dyDescent="0.3">
      <c r="A228">
        <v>8</v>
      </c>
      <c r="B228" t="s">
        <v>306</v>
      </c>
      <c r="C228" t="s">
        <v>305</v>
      </c>
      <c r="D228" t="s">
        <v>309</v>
      </c>
      <c r="E228" t="s">
        <v>310</v>
      </c>
    </row>
    <row r="229" spans="1:5" x14ac:dyDescent="0.3">
      <c r="A229">
        <v>9</v>
      </c>
      <c r="B229" t="s">
        <v>306</v>
      </c>
      <c r="C229" t="s">
        <v>305</v>
      </c>
      <c r="D229" t="s">
        <v>311</v>
      </c>
      <c r="E229" t="s">
        <v>312</v>
      </c>
    </row>
    <row r="230" spans="1:5" x14ac:dyDescent="0.3">
      <c r="A230">
        <v>10</v>
      </c>
      <c r="B230" t="s">
        <v>306</v>
      </c>
      <c r="C230" t="s">
        <v>305</v>
      </c>
      <c r="D230" t="s">
        <v>118</v>
      </c>
      <c r="E230" t="s">
        <v>119</v>
      </c>
    </row>
    <row r="231" spans="1:5" x14ac:dyDescent="0.3">
      <c r="A231">
        <v>1</v>
      </c>
      <c r="B231" t="s">
        <v>314</v>
      </c>
      <c r="C231" t="s">
        <v>313</v>
      </c>
      <c r="D231" t="s">
        <v>162</v>
      </c>
      <c r="E231" t="s">
        <v>163</v>
      </c>
    </row>
    <row r="232" spans="1:5" x14ac:dyDescent="0.3">
      <c r="A232">
        <v>2</v>
      </c>
      <c r="B232" t="s">
        <v>314</v>
      </c>
      <c r="C232" t="s">
        <v>313</v>
      </c>
      <c r="D232" t="s">
        <v>112</v>
      </c>
      <c r="E232" t="s">
        <v>113</v>
      </c>
    </row>
    <row r="233" spans="1:5" x14ac:dyDescent="0.3">
      <c r="A233">
        <v>3</v>
      </c>
      <c r="B233" t="s">
        <v>314</v>
      </c>
      <c r="C233" t="s">
        <v>313</v>
      </c>
      <c r="D233" t="s">
        <v>315</v>
      </c>
      <c r="E233" t="s">
        <v>316</v>
      </c>
    </row>
    <row r="234" spans="1:5" x14ac:dyDescent="0.3">
      <c r="A234">
        <v>4</v>
      </c>
      <c r="B234" t="s">
        <v>314</v>
      </c>
      <c r="C234" t="s">
        <v>313</v>
      </c>
      <c r="D234" t="s">
        <v>52</v>
      </c>
      <c r="E234" t="s">
        <v>53</v>
      </c>
    </row>
    <row r="235" spans="1:5" x14ac:dyDescent="0.3">
      <c r="A235">
        <v>5</v>
      </c>
      <c r="B235" t="s">
        <v>314</v>
      </c>
      <c r="C235" t="s">
        <v>313</v>
      </c>
      <c r="D235" t="s">
        <v>210</v>
      </c>
      <c r="E235" t="s">
        <v>211</v>
      </c>
    </row>
    <row r="236" spans="1:5" x14ac:dyDescent="0.3">
      <c r="A236">
        <v>6</v>
      </c>
      <c r="B236" t="s">
        <v>314</v>
      </c>
      <c r="C236" t="s">
        <v>313</v>
      </c>
      <c r="D236" t="s">
        <v>58</v>
      </c>
      <c r="E236" t="s">
        <v>59</v>
      </c>
    </row>
    <row r="237" spans="1:5" x14ac:dyDescent="0.3">
      <c r="A237">
        <v>7</v>
      </c>
      <c r="B237" t="s">
        <v>314</v>
      </c>
      <c r="C237" t="s">
        <v>313</v>
      </c>
      <c r="D237" t="s">
        <v>156</v>
      </c>
      <c r="E237" t="s">
        <v>157</v>
      </c>
    </row>
    <row r="238" spans="1:5" x14ac:dyDescent="0.3">
      <c r="A238">
        <v>8</v>
      </c>
      <c r="B238" t="s">
        <v>314</v>
      </c>
      <c r="C238" t="s">
        <v>313</v>
      </c>
      <c r="D238" t="s">
        <v>218</v>
      </c>
      <c r="E238" t="s">
        <v>219</v>
      </c>
    </row>
    <row r="239" spans="1:5" x14ac:dyDescent="0.3">
      <c r="A239">
        <v>9</v>
      </c>
      <c r="B239" t="s">
        <v>314</v>
      </c>
      <c r="C239" t="s">
        <v>313</v>
      </c>
      <c r="D239" t="s">
        <v>109</v>
      </c>
      <c r="E239" t="s">
        <v>108</v>
      </c>
    </row>
    <row r="240" spans="1:5" x14ac:dyDescent="0.3">
      <c r="A240">
        <v>10</v>
      </c>
      <c r="B240" t="s">
        <v>314</v>
      </c>
      <c r="C240" t="s">
        <v>313</v>
      </c>
      <c r="D240" t="s">
        <v>226</v>
      </c>
      <c r="E240" t="s">
        <v>227</v>
      </c>
    </row>
    <row r="241" spans="1:5" x14ac:dyDescent="0.3">
      <c r="A241">
        <v>1</v>
      </c>
      <c r="B241" t="s">
        <v>318</v>
      </c>
      <c r="C241" t="s">
        <v>317</v>
      </c>
      <c r="D241" t="s">
        <v>307</v>
      </c>
      <c r="E241" t="s">
        <v>308</v>
      </c>
    </row>
    <row r="242" spans="1:5" x14ac:dyDescent="0.3">
      <c r="A242">
        <v>2</v>
      </c>
      <c r="B242" t="s">
        <v>318</v>
      </c>
      <c r="C242" t="s">
        <v>317</v>
      </c>
      <c r="D242" t="s">
        <v>277</v>
      </c>
      <c r="E242" t="s">
        <v>278</v>
      </c>
    </row>
    <row r="243" spans="1:5" x14ac:dyDescent="0.3">
      <c r="A243">
        <v>3</v>
      </c>
      <c r="B243" t="s">
        <v>318</v>
      </c>
      <c r="C243" t="s">
        <v>317</v>
      </c>
      <c r="D243" t="s">
        <v>128</v>
      </c>
      <c r="E243" t="s">
        <v>129</v>
      </c>
    </row>
    <row r="244" spans="1:5" x14ac:dyDescent="0.3">
      <c r="A244">
        <v>4</v>
      </c>
      <c r="B244" t="s">
        <v>318</v>
      </c>
      <c r="C244" t="s">
        <v>317</v>
      </c>
      <c r="D244" t="s">
        <v>116</v>
      </c>
      <c r="E244" t="s">
        <v>117</v>
      </c>
    </row>
    <row r="245" spans="1:5" x14ac:dyDescent="0.3">
      <c r="A245">
        <v>5</v>
      </c>
      <c r="B245" t="s">
        <v>318</v>
      </c>
      <c r="C245" t="s">
        <v>317</v>
      </c>
      <c r="D245" t="s">
        <v>311</v>
      </c>
      <c r="E245" t="s">
        <v>312</v>
      </c>
    </row>
    <row r="246" spans="1:5" x14ac:dyDescent="0.3">
      <c r="A246">
        <v>6</v>
      </c>
      <c r="B246" t="s">
        <v>318</v>
      </c>
      <c r="C246" t="s">
        <v>317</v>
      </c>
      <c r="D246" t="s">
        <v>319</v>
      </c>
      <c r="E246" t="s">
        <v>320</v>
      </c>
    </row>
    <row r="247" spans="1:5" x14ac:dyDescent="0.3">
      <c r="A247">
        <v>7</v>
      </c>
      <c r="B247" t="s">
        <v>318</v>
      </c>
      <c r="C247" t="s">
        <v>317</v>
      </c>
      <c r="D247" t="s">
        <v>321</v>
      </c>
      <c r="E247" t="s">
        <v>322</v>
      </c>
    </row>
    <row r="248" spans="1:5" x14ac:dyDescent="0.3">
      <c r="A248">
        <v>8</v>
      </c>
      <c r="B248" t="s">
        <v>318</v>
      </c>
      <c r="C248" t="s">
        <v>317</v>
      </c>
      <c r="D248" t="s">
        <v>120</v>
      </c>
      <c r="E248" t="s">
        <v>121</v>
      </c>
    </row>
    <row r="249" spans="1:5" x14ac:dyDescent="0.3">
      <c r="A249">
        <v>9</v>
      </c>
      <c r="B249" t="s">
        <v>318</v>
      </c>
      <c r="C249" t="s">
        <v>317</v>
      </c>
      <c r="D249" t="s">
        <v>323</v>
      </c>
      <c r="E249" t="s">
        <v>324</v>
      </c>
    </row>
    <row r="250" spans="1:5" x14ac:dyDescent="0.3">
      <c r="A250">
        <v>10</v>
      </c>
      <c r="B250" t="s">
        <v>318</v>
      </c>
      <c r="C250" t="s">
        <v>317</v>
      </c>
      <c r="D250" t="s">
        <v>325</v>
      </c>
      <c r="E250" t="s">
        <v>326</v>
      </c>
    </row>
    <row r="251" spans="1:5" x14ac:dyDescent="0.3">
      <c r="A251">
        <v>1</v>
      </c>
      <c r="B251" t="s">
        <v>328</v>
      </c>
      <c r="C251" t="s">
        <v>327</v>
      </c>
      <c r="D251" t="s">
        <v>52</v>
      </c>
      <c r="E251" t="s">
        <v>53</v>
      </c>
    </row>
    <row r="252" spans="1:5" x14ac:dyDescent="0.3">
      <c r="A252">
        <v>2</v>
      </c>
      <c r="B252" t="s">
        <v>328</v>
      </c>
      <c r="C252" t="s">
        <v>327</v>
      </c>
      <c r="D252" t="s">
        <v>46</v>
      </c>
      <c r="E252" t="s">
        <v>47</v>
      </c>
    </row>
    <row r="253" spans="1:5" x14ac:dyDescent="0.3">
      <c r="A253">
        <v>3</v>
      </c>
      <c r="B253" t="s">
        <v>328</v>
      </c>
      <c r="C253" t="s">
        <v>327</v>
      </c>
      <c r="D253" t="s">
        <v>50</v>
      </c>
      <c r="E253" t="s">
        <v>51</v>
      </c>
    </row>
    <row r="254" spans="1:5" x14ac:dyDescent="0.3">
      <c r="A254">
        <v>4</v>
      </c>
      <c r="B254" t="s">
        <v>328</v>
      </c>
      <c r="C254" t="s">
        <v>327</v>
      </c>
      <c r="D254" t="s">
        <v>41</v>
      </c>
      <c r="E254" t="s">
        <v>42</v>
      </c>
    </row>
    <row r="255" spans="1:5" x14ac:dyDescent="0.3">
      <c r="A255">
        <v>5</v>
      </c>
      <c r="B255" t="s">
        <v>328</v>
      </c>
      <c r="C255" t="s">
        <v>327</v>
      </c>
      <c r="D255" t="s">
        <v>330</v>
      </c>
      <c r="E255" t="s">
        <v>331</v>
      </c>
    </row>
    <row r="256" spans="1:5" x14ac:dyDescent="0.3">
      <c r="A256">
        <v>6</v>
      </c>
      <c r="B256" t="s">
        <v>328</v>
      </c>
      <c r="C256" t="s">
        <v>327</v>
      </c>
      <c r="D256" t="s">
        <v>170</v>
      </c>
      <c r="E256" t="s">
        <v>171</v>
      </c>
    </row>
    <row r="257" spans="1:5" x14ac:dyDescent="0.3">
      <c r="A257">
        <v>7</v>
      </c>
      <c r="B257" t="s">
        <v>328</v>
      </c>
      <c r="C257" t="s">
        <v>327</v>
      </c>
      <c r="D257" t="s">
        <v>332</v>
      </c>
      <c r="E257" t="s">
        <v>333</v>
      </c>
    </row>
    <row r="258" spans="1:5" x14ac:dyDescent="0.3">
      <c r="A258">
        <v>8</v>
      </c>
      <c r="B258" t="s">
        <v>328</v>
      </c>
      <c r="C258" t="s">
        <v>327</v>
      </c>
      <c r="D258" t="s">
        <v>240</v>
      </c>
      <c r="E258" t="s">
        <v>241</v>
      </c>
    </row>
    <row r="259" spans="1:5" x14ac:dyDescent="0.3">
      <c r="A259">
        <v>9</v>
      </c>
      <c r="B259" t="s">
        <v>328</v>
      </c>
      <c r="C259" t="s">
        <v>327</v>
      </c>
      <c r="D259" t="s">
        <v>90</v>
      </c>
      <c r="E259" t="s">
        <v>91</v>
      </c>
    </row>
    <row r="260" spans="1:5" x14ac:dyDescent="0.3">
      <c r="A260">
        <v>10</v>
      </c>
      <c r="B260" t="s">
        <v>328</v>
      </c>
      <c r="C260" t="s">
        <v>327</v>
      </c>
      <c r="D260" t="s">
        <v>94</v>
      </c>
      <c r="E260" t="s">
        <v>95</v>
      </c>
    </row>
    <row r="261" spans="1:5" x14ac:dyDescent="0.3">
      <c r="A261">
        <v>1</v>
      </c>
      <c r="B261" t="s">
        <v>335</v>
      </c>
      <c r="C261" t="s">
        <v>334</v>
      </c>
      <c r="D261" t="s">
        <v>258</v>
      </c>
      <c r="E261" t="s">
        <v>259</v>
      </c>
    </row>
    <row r="262" spans="1:5" x14ac:dyDescent="0.3">
      <c r="A262">
        <v>2</v>
      </c>
      <c r="B262" t="s">
        <v>335</v>
      </c>
      <c r="C262" t="s">
        <v>334</v>
      </c>
      <c r="D262" t="s">
        <v>90</v>
      </c>
      <c r="E262" t="s">
        <v>91</v>
      </c>
    </row>
    <row r="263" spans="1:5" x14ac:dyDescent="0.3">
      <c r="A263">
        <v>3</v>
      </c>
      <c r="B263" t="s">
        <v>335</v>
      </c>
      <c r="C263" t="s">
        <v>334</v>
      </c>
      <c r="D263" t="s">
        <v>271</v>
      </c>
      <c r="E263" t="s">
        <v>272</v>
      </c>
    </row>
    <row r="264" spans="1:5" x14ac:dyDescent="0.3">
      <c r="A264">
        <v>4</v>
      </c>
      <c r="B264" t="s">
        <v>335</v>
      </c>
      <c r="C264" t="s">
        <v>334</v>
      </c>
      <c r="D264" t="s">
        <v>92</v>
      </c>
      <c r="E264" t="s">
        <v>93</v>
      </c>
    </row>
    <row r="265" spans="1:5" x14ac:dyDescent="0.3">
      <c r="A265">
        <v>5</v>
      </c>
      <c r="B265" t="s">
        <v>335</v>
      </c>
      <c r="C265" t="s">
        <v>334</v>
      </c>
      <c r="D265" t="s">
        <v>30</v>
      </c>
      <c r="E265" t="s">
        <v>31</v>
      </c>
    </row>
    <row r="266" spans="1:5" x14ac:dyDescent="0.3">
      <c r="A266">
        <v>6</v>
      </c>
      <c r="B266" t="s">
        <v>335</v>
      </c>
      <c r="C266" t="s">
        <v>334</v>
      </c>
      <c r="D266" t="s">
        <v>234</v>
      </c>
      <c r="E266" t="s">
        <v>235</v>
      </c>
    </row>
    <row r="267" spans="1:5" x14ac:dyDescent="0.3">
      <c r="A267">
        <v>7</v>
      </c>
      <c r="B267" t="s">
        <v>335</v>
      </c>
      <c r="C267" t="s">
        <v>334</v>
      </c>
      <c r="D267" t="s">
        <v>285</v>
      </c>
      <c r="E267" t="s">
        <v>286</v>
      </c>
    </row>
    <row r="268" spans="1:5" x14ac:dyDescent="0.3">
      <c r="A268">
        <v>8</v>
      </c>
      <c r="B268" t="s">
        <v>335</v>
      </c>
      <c r="C268" t="s">
        <v>334</v>
      </c>
      <c r="D268" t="s">
        <v>336</v>
      </c>
      <c r="E268" t="s">
        <v>337</v>
      </c>
    </row>
    <row r="269" spans="1:5" x14ac:dyDescent="0.3">
      <c r="A269">
        <v>9</v>
      </c>
      <c r="B269" t="s">
        <v>335</v>
      </c>
      <c r="C269" t="s">
        <v>334</v>
      </c>
      <c r="D269" t="s">
        <v>23</v>
      </c>
      <c r="E269" t="s">
        <v>24</v>
      </c>
    </row>
    <row r="270" spans="1:5" x14ac:dyDescent="0.3">
      <c r="A270">
        <v>10</v>
      </c>
      <c r="B270" t="s">
        <v>335</v>
      </c>
      <c r="C270" t="s">
        <v>334</v>
      </c>
      <c r="D270" t="s">
        <v>338</v>
      </c>
      <c r="E270" t="s">
        <v>339</v>
      </c>
    </row>
    <row r="271" spans="1:5" x14ac:dyDescent="0.3">
      <c r="A271">
        <v>1</v>
      </c>
      <c r="B271" t="s">
        <v>341</v>
      </c>
      <c r="C271" t="s">
        <v>340</v>
      </c>
      <c r="D271" t="s">
        <v>50</v>
      </c>
      <c r="E271" t="s">
        <v>51</v>
      </c>
    </row>
    <row r="272" spans="1:5" x14ac:dyDescent="0.3">
      <c r="A272">
        <v>2</v>
      </c>
      <c r="B272" t="s">
        <v>341</v>
      </c>
      <c r="C272" t="s">
        <v>340</v>
      </c>
      <c r="D272" t="s">
        <v>58</v>
      </c>
      <c r="E272" t="s">
        <v>59</v>
      </c>
    </row>
    <row r="273" spans="1:5" x14ac:dyDescent="0.3">
      <c r="A273">
        <v>3</v>
      </c>
      <c r="B273" t="s">
        <v>341</v>
      </c>
      <c r="C273" t="s">
        <v>340</v>
      </c>
      <c r="D273" t="s">
        <v>307</v>
      </c>
      <c r="E273" t="s">
        <v>308</v>
      </c>
    </row>
    <row r="274" spans="1:5" x14ac:dyDescent="0.3">
      <c r="A274">
        <v>4</v>
      </c>
      <c r="B274" t="s">
        <v>341</v>
      </c>
      <c r="C274" t="s">
        <v>340</v>
      </c>
      <c r="D274" t="s">
        <v>78</v>
      </c>
      <c r="E274" t="s">
        <v>79</v>
      </c>
    </row>
    <row r="275" spans="1:5" x14ac:dyDescent="0.3">
      <c r="A275">
        <v>5</v>
      </c>
      <c r="B275" t="s">
        <v>341</v>
      </c>
      <c r="C275" t="s">
        <v>340</v>
      </c>
      <c r="D275" t="s">
        <v>74</v>
      </c>
      <c r="E275" t="s">
        <v>75</v>
      </c>
    </row>
    <row r="276" spans="1:5" x14ac:dyDescent="0.3">
      <c r="A276">
        <v>6</v>
      </c>
      <c r="B276" t="s">
        <v>341</v>
      </c>
      <c r="C276" t="s">
        <v>340</v>
      </c>
      <c r="D276" t="s">
        <v>311</v>
      </c>
      <c r="E276" t="s">
        <v>312</v>
      </c>
    </row>
    <row r="277" spans="1:5" x14ac:dyDescent="0.3">
      <c r="A277">
        <v>7</v>
      </c>
      <c r="B277" t="s">
        <v>341</v>
      </c>
      <c r="C277" t="s">
        <v>340</v>
      </c>
      <c r="D277" t="s">
        <v>275</v>
      </c>
      <c r="E277" t="s">
        <v>276</v>
      </c>
    </row>
    <row r="278" spans="1:5" x14ac:dyDescent="0.3">
      <c r="A278">
        <v>8</v>
      </c>
      <c r="B278" t="s">
        <v>341</v>
      </c>
      <c r="C278" t="s">
        <v>340</v>
      </c>
      <c r="D278" t="s">
        <v>303</v>
      </c>
      <c r="E278" t="s">
        <v>304</v>
      </c>
    </row>
    <row r="279" spans="1:5" x14ac:dyDescent="0.3">
      <c r="A279">
        <v>9</v>
      </c>
      <c r="B279" t="s">
        <v>341</v>
      </c>
      <c r="C279" t="s">
        <v>340</v>
      </c>
      <c r="D279" t="s">
        <v>106</v>
      </c>
      <c r="E279" t="s">
        <v>107</v>
      </c>
    </row>
    <row r="280" spans="1:5" x14ac:dyDescent="0.3">
      <c r="A280">
        <v>10</v>
      </c>
      <c r="B280" t="s">
        <v>341</v>
      </c>
      <c r="C280" t="s">
        <v>340</v>
      </c>
      <c r="D280" t="s">
        <v>323</v>
      </c>
      <c r="E280" t="s">
        <v>324</v>
      </c>
    </row>
    <row r="281" spans="1:5" x14ac:dyDescent="0.3">
      <c r="A281">
        <v>1</v>
      </c>
      <c r="B281" t="s">
        <v>343</v>
      </c>
      <c r="C281" t="s">
        <v>342</v>
      </c>
      <c r="D281" t="s">
        <v>68</v>
      </c>
      <c r="E281" t="s">
        <v>69</v>
      </c>
    </row>
    <row r="282" spans="1:5" x14ac:dyDescent="0.3">
      <c r="A282">
        <v>2</v>
      </c>
      <c r="B282" t="s">
        <v>343</v>
      </c>
      <c r="C282" t="s">
        <v>342</v>
      </c>
      <c r="D282" t="s">
        <v>344</v>
      </c>
      <c r="E282" t="s">
        <v>345</v>
      </c>
    </row>
    <row r="283" spans="1:5" x14ac:dyDescent="0.3">
      <c r="A283">
        <v>3</v>
      </c>
      <c r="B283" t="s">
        <v>343</v>
      </c>
      <c r="C283" t="s">
        <v>342</v>
      </c>
      <c r="D283" t="s">
        <v>346</v>
      </c>
      <c r="E283" t="s">
        <v>347</v>
      </c>
    </row>
    <row r="284" spans="1:5" x14ac:dyDescent="0.3">
      <c r="A284">
        <v>4</v>
      </c>
      <c r="B284" t="s">
        <v>343</v>
      </c>
      <c r="C284" t="s">
        <v>342</v>
      </c>
      <c r="D284" t="s">
        <v>20</v>
      </c>
      <c r="E284" t="s">
        <v>21</v>
      </c>
    </row>
    <row r="285" spans="1:5" x14ac:dyDescent="0.3">
      <c r="A285">
        <v>5</v>
      </c>
      <c r="B285" t="s">
        <v>343</v>
      </c>
      <c r="C285" t="s">
        <v>342</v>
      </c>
      <c r="D285" t="s">
        <v>348</v>
      </c>
      <c r="E285" t="s">
        <v>349</v>
      </c>
    </row>
    <row r="286" spans="1:5" x14ac:dyDescent="0.3">
      <c r="A286">
        <v>6</v>
      </c>
      <c r="B286" t="s">
        <v>343</v>
      </c>
      <c r="C286" t="s">
        <v>342</v>
      </c>
      <c r="D286" t="s">
        <v>52</v>
      </c>
      <c r="E286" t="s">
        <v>53</v>
      </c>
    </row>
    <row r="287" spans="1:5" x14ac:dyDescent="0.3">
      <c r="A287">
        <v>7</v>
      </c>
      <c r="B287" t="s">
        <v>343</v>
      </c>
      <c r="C287" t="s">
        <v>342</v>
      </c>
      <c r="D287" t="s">
        <v>80</v>
      </c>
      <c r="E287" t="s">
        <v>81</v>
      </c>
    </row>
    <row r="288" spans="1:5" x14ac:dyDescent="0.3">
      <c r="A288">
        <v>8</v>
      </c>
      <c r="B288" t="s">
        <v>343</v>
      </c>
      <c r="C288" t="s">
        <v>342</v>
      </c>
      <c r="D288" t="s">
        <v>350</v>
      </c>
      <c r="E288" t="s">
        <v>351</v>
      </c>
    </row>
    <row r="289" spans="1:5" x14ac:dyDescent="0.3">
      <c r="A289">
        <v>9</v>
      </c>
      <c r="B289" t="s">
        <v>343</v>
      </c>
      <c r="C289" t="s">
        <v>342</v>
      </c>
      <c r="D289" t="s">
        <v>64</v>
      </c>
      <c r="E289" t="s">
        <v>65</v>
      </c>
    </row>
    <row r="290" spans="1:5" x14ac:dyDescent="0.3">
      <c r="A290">
        <v>10</v>
      </c>
      <c r="B290" t="s">
        <v>343</v>
      </c>
      <c r="C290" t="s">
        <v>342</v>
      </c>
      <c r="D290" t="s">
        <v>190</v>
      </c>
      <c r="E290" t="s">
        <v>191</v>
      </c>
    </row>
    <row r="291" spans="1:5" x14ac:dyDescent="0.3">
      <c r="A291">
        <v>1</v>
      </c>
      <c r="B291" t="s">
        <v>353</v>
      </c>
      <c r="C291" t="s">
        <v>352</v>
      </c>
      <c r="D291" t="s">
        <v>354</v>
      </c>
      <c r="E291" t="s">
        <v>355</v>
      </c>
    </row>
    <row r="292" spans="1:5" x14ac:dyDescent="0.3">
      <c r="A292">
        <v>2</v>
      </c>
      <c r="B292" t="s">
        <v>353</v>
      </c>
      <c r="C292" t="s">
        <v>352</v>
      </c>
      <c r="D292" t="s">
        <v>64</v>
      </c>
      <c r="E292" t="s">
        <v>65</v>
      </c>
    </row>
    <row r="293" spans="1:5" x14ac:dyDescent="0.3">
      <c r="A293">
        <v>3</v>
      </c>
      <c r="B293" t="s">
        <v>353</v>
      </c>
      <c r="C293" t="s">
        <v>352</v>
      </c>
      <c r="D293" t="s">
        <v>200</v>
      </c>
      <c r="E293" t="s">
        <v>201</v>
      </c>
    </row>
    <row r="294" spans="1:5" x14ac:dyDescent="0.3">
      <c r="A294">
        <v>4</v>
      </c>
      <c r="B294" t="s">
        <v>353</v>
      </c>
      <c r="C294" t="s">
        <v>352</v>
      </c>
      <c r="D294" t="s">
        <v>72</v>
      </c>
      <c r="E294" t="s">
        <v>73</v>
      </c>
    </row>
    <row r="295" spans="1:5" x14ac:dyDescent="0.3">
      <c r="A295">
        <v>5</v>
      </c>
      <c r="B295" t="s">
        <v>353</v>
      </c>
      <c r="C295" t="s">
        <v>352</v>
      </c>
      <c r="D295" t="s">
        <v>68</v>
      </c>
      <c r="E295" t="s">
        <v>69</v>
      </c>
    </row>
    <row r="296" spans="1:5" x14ac:dyDescent="0.3">
      <c r="A296">
        <v>6</v>
      </c>
      <c r="B296" t="s">
        <v>353</v>
      </c>
      <c r="C296" t="s">
        <v>352</v>
      </c>
      <c r="D296" t="s">
        <v>78</v>
      </c>
      <c r="E296" t="s">
        <v>79</v>
      </c>
    </row>
    <row r="297" spans="1:5" x14ac:dyDescent="0.3">
      <c r="A297">
        <v>7</v>
      </c>
      <c r="B297" t="s">
        <v>353</v>
      </c>
      <c r="C297" t="s">
        <v>352</v>
      </c>
      <c r="D297" t="s">
        <v>198</v>
      </c>
      <c r="E297" t="s">
        <v>199</v>
      </c>
    </row>
    <row r="298" spans="1:5" x14ac:dyDescent="0.3">
      <c r="A298">
        <v>8</v>
      </c>
      <c r="B298" t="s">
        <v>353</v>
      </c>
      <c r="C298" t="s">
        <v>352</v>
      </c>
      <c r="D298" t="s">
        <v>156</v>
      </c>
      <c r="E298" t="s">
        <v>157</v>
      </c>
    </row>
    <row r="299" spans="1:5" x14ac:dyDescent="0.3">
      <c r="A299">
        <v>9</v>
      </c>
      <c r="B299" t="s">
        <v>353</v>
      </c>
      <c r="C299" t="s">
        <v>352</v>
      </c>
      <c r="D299" t="s">
        <v>74</v>
      </c>
      <c r="E299" t="s">
        <v>75</v>
      </c>
    </row>
    <row r="300" spans="1:5" x14ac:dyDescent="0.3">
      <c r="A300">
        <v>10</v>
      </c>
      <c r="B300" t="s">
        <v>353</v>
      </c>
      <c r="C300" t="s">
        <v>352</v>
      </c>
      <c r="D300" t="s">
        <v>76</v>
      </c>
      <c r="E300" t="s">
        <v>77</v>
      </c>
    </row>
  </sheetData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1696F"/>
  </sheetPr>
  <dimension ref="A1:J335"/>
  <sheetViews>
    <sheetView zoomScaleNormal="100" workbookViewId="0">
      <pane ySplit="5" topLeftCell="A167" activePane="bottomLeft" state="frozen"/>
      <selection pane="bottomLeft" activeCell="A180" sqref="A180"/>
    </sheetView>
  </sheetViews>
  <sheetFormatPr defaultColWidth="8.6640625" defaultRowHeight="15" customHeight="1" x14ac:dyDescent="0.3"/>
  <cols>
    <col min="1" max="1" width="18" customWidth="1"/>
    <col min="2" max="3" width="14" customWidth="1"/>
    <col min="4" max="6" width="26" customWidth="1"/>
    <col min="7" max="7" width="9" customWidth="1"/>
    <col min="8" max="8" width="35" bestFit="1" customWidth="1"/>
    <col min="9" max="9" width="3" customWidth="1"/>
    <col min="10" max="10" width="60" customWidth="1"/>
  </cols>
  <sheetData>
    <row r="1" spans="1:10" ht="7.5" customHeight="1" x14ac:dyDescent="0.3"/>
    <row r="2" spans="1:10" ht="30" customHeight="1" x14ac:dyDescent="0.3">
      <c r="A2" s="40" t="s">
        <v>0</v>
      </c>
      <c r="B2" s="40"/>
      <c r="C2" s="40"/>
      <c r="D2" s="40"/>
      <c r="E2" s="40"/>
      <c r="F2" s="40"/>
      <c r="G2" s="40"/>
      <c r="H2" s="40"/>
      <c r="J2" s="1" t="s">
        <v>1</v>
      </c>
    </row>
    <row r="3" spans="1:10" ht="18" customHeight="1" x14ac:dyDescent="0.3">
      <c r="A3" s="41" t="s">
        <v>2</v>
      </c>
      <c r="B3" s="41"/>
      <c r="C3" s="41"/>
      <c r="D3" s="41"/>
      <c r="E3" s="41"/>
      <c r="F3" s="41"/>
      <c r="G3" s="41"/>
      <c r="H3" s="41"/>
    </row>
    <row r="4" spans="1:10" ht="7.5" customHeight="1" x14ac:dyDescent="0.3">
      <c r="J4" s="2" t="s">
        <v>3</v>
      </c>
    </row>
    <row r="5" spans="1:10" ht="24" customHeight="1" x14ac:dyDescent="0.3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J5" s="2" t="s">
        <v>12</v>
      </c>
    </row>
    <row r="6" spans="1:10" ht="18" customHeight="1" x14ac:dyDescent="0.3">
      <c r="A6" s="4" t="s">
        <v>13</v>
      </c>
      <c r="B6" s="5" t="s">
        <v>14</v>
      </c>
      <c r="C6" s="5" t="s">
        <v>15</v>
      </c>
      <c r="D6" s="6" t="s">
        <v>16</v>
      </c>
      <c r="E6" s="19">
        <f>VLOOKUP(C6,FeaturePool!$C$6:$F$26,3,FALSE)</f>
        <v>6</v>
      </c>
      <c r="F6" s="19">
        <f>VLOOKUP(C6,FeaturePool!$C$6:$F$26,4,FALSE)</f>
        <v>0.125</v>
      </c>
      <c r="G6" s="7">
        <v>1</v>
      </c>
      <c r="H6" s="6"/>
      <c r="J6" s="2" t="s">
        <v>17</v>
      </c>
    </row>
    <row r="7" spans="1:10" ht="18" customHeight="1" x14ac:dyDescent="0.3">
      <c r="A7" s="8"/>
      <c r="B7" s="20" t="s">
        <v>14</v>
      </c>
      <c r="C7" s="9" t="s">
        <v>18</v>
      </c>
      <c r="D7" s="8" t="s">
        <v>19</v>
      </c>
      <c r="E7" s="19">
        <f>VLOOKUP(C7,FeaturePool!$C$6:$F$26,3,FALSE)</f>
        <v>2</v>
      </c>
      <c r="F7" s="19">
        <f>VLOOKUP(C7,FeaturePool!$C$6:$F$26,4,FALSE)</f>
        <v>0.111</v>
      </c>
      <c r="G7" s="10">
        <v>2</v>
      </c>
      <c r="H7" s="8"/>
      <c r="J7" s="2"/>
    </row>
    <row r="8" spans="1:10" ht="18" customHeight="1" x14ac:dyDescent="0.3">
      <c r="A8" s="6"/>
      <c r="B8" s="5" t="s">
        <v>14</v>
      </c>
      <c r="C8" s="5" t="s">
        <v>20</v>
      </c>
      <c r="D8" s="6" t="s">
        <v>21</v>
      </c>
      <c r="E8" s="19">
        <f>VLOOKUP(C8,FeaturePool!$C$6:$F$26,3,FALSE)</f>
        <v>15</v>
      </c>
      <c r="F8" s="19">
        <f>VLOOKUP(C8,FeaturePool!$C$6:$F$26,4,FALSE)</f>
        <v>0.125</v>
      </c>
      <c r="G8" s="7">
        <v>3</v>
      </c>
      <c r="H8" s="6" t="s">
        <v>22</v>
      </c>
      <c r="J8" s="2"/>
    </row>
    <row r="9" spans="1:10" ht="18" customHeight="1" x14ac:dyDescent="0.3">
      <c r="A9" s="8"/>
      <c r="B9" s="20" t="s">
        <v>14</v>
      </c>
      <c r="C9" s="5" t="s">
        <v>23</v>
      </c>
      <c r="D9" s="6" t="s">
        <v>24</v>
      </c>
      <c r="E9" s="19">
        <f>VLOOKUP(C9,FeaturePool!$C$6:$F$26,3,FALSE)</f>
        <v>13</v>
      </c>
      <c r="F9" s="19">
        <f>VLOOKUP(C9,FeaturePool!$C$6:$F$26,4,FALSE)</f>
        <v>0.111</v>
      </c>
      <c r="G9" s="10">
        <v>4</v>
      </c>
      <c r="H9" s="8" t="s">
        <v>25</v>
      </c>
    </row>
    <row r="10" spans="1:10" ht="18" customHeight="1" x14ac:dyDescent="0.3">
      <c r="A10" s="6"/>
      <c r="B10" s="5" t="s">
        <v>14</v>
      </c>
      <c r="C10" s="9" t="s">
        <v>26</v>
      </c>
      <c r="D10" s="8" t="s">
        <v>27</v>
      </c>
      <c r="E10" s="19">
        <f>VLOOKUP(C10,FeaturePool!$C$6:$F$26,3,FALSE)</f>
        <v>12</v>
      </c>
      <c r="F10" s="19">
        <f>VLOOKUP(C10,FeaturePool!$C$6:$F$26,4,FALSE)</f>
        <v>0.25</v>
      </c>
      <c r="G10" s="7">
        <v>5</v>
      </c>
      <c r="H10" s="6"/>
    </row>
    <row r="11" spans="1:10" ht="18" customHeight="1" x14ac:dyDescent="0.3">
      <c r="A11" s="8"/>
      <c r="B11" s="20" t="s">
        <v>14</v>
      </c>
      <c r="C11" s="5" t="s">
        <v>28</v>
      </c>
      <c r="D11" s="6" t="s">
        <v>29</v>
      </c>
      <c r="E11" s="6">
        <f>VLOOKUP(C11,FeaturePool!$C$6:$F$26,3,FALSE)</f>
        <v>2</v>
      </c>
      <c r="F11" s="6">
        <f>VLOOKUP(C11,FeaturePool!$C$6:$F$26,4,FALSE)</f>
        <v>0.2</v>
      </c>
      <c r="G11" s="10">
        <v>6</v>
      </c>
      <c r="H11" s="8"/>
    </row>
    <row r="12" spans="1:10" ht="18" customHeight="1" x14ac:dyDescent="0.3">
      <c r="A12" s="6"/>
      <c r="B12" s="5" t="s">
        <v>14</v>
      </c>
      <c r="C12" s="9" t="s">
        <v>30</v>
      </c>
      <c r="D12" s="8" t="s">
        <v>31</v>
      </c>
      <c r="E12" s="19">
        <f>VLOOKUP(C12,FeaturePool!$C$6:$F$26,3,FALSE)</f>
        <v>2</v>
      </c>
      <c r="F12" s="19">
        <f>VLOOKUP(C12,FeaturePool!$C$6:$F$26,4,FALSE)</f>
        <v>0.2</v>
      </c>
      <c r="G12" s="7">
        <v>7</v>
      </c>
      <c r="H12" s="6"/>
    </row>
    <row r="13" spans="1:10" ht="18" customHeight="1" x14ac:dyDescent="0.3">
      <c r="A13" s="8"/>
      <c r="B13" s="20" t="s">
        <v>14</v>
      </c>
      <c r="C13" s="9" t="s">
        <v>32</v>
      </c>
      <c r="D13" s="8" t="s">
        <v>33</v>
      </c>
      <c r="E13" s="19">
        <f>VLOOKUP(C13,FeaturePool!$C$6:$F$26,3,FALSE)</f>
        <v>2</v>
      </c>
      <c r="F13" s="19">
        <f>VLOOKUP(C13,FeaturePool!$C$6:$F$26,4,FALSE)</f>
        <v>9.0999999999999998E-2</v>
      </c>
      <c r="G13" s="10">
        <v>8</v>
      </c>
      <c r="H13" s="8"/>
    </row>
    <row r="14" spans="1:10" ht="18" customHeight="1" x14ac:dyDescent="0.3">
      <c r="A14" s="6"/>
      <c r="B14" s="5" t="s">
        <v>14</v>
      </c>
      <c r="C14" s="9" t="s">
        <v>34</v>
      </c>
      <c r="D14" s="8" t="s">
        <v>35</v>
      </c>
      <c r="E14" s="6">
        <f>VLOOKUP(C14,FeaturePool!$C$6:$F$26,3,FALSE)</f>
        <v>11</v>
      </c>
      <c r="F14" s="6">
        <f>VLOOKUP(C14,FeaturePool!$C$6:$F$26,4,FALSE)</f>
        <v>0.2</v>
      </c>
      <c r="G14" s="7">
        <v>9</v>
      </c>
      <c r="H14" s="6" t="s">
        <v>36</v>
      </c>
    </row>
    <row r="15" spans="1:10" ht="18" customHeight="1" x14ac:dyDescent="0.3">
      <c r="A15" s="8"/>
      <c r="B15" s="20" t="s">
        <v>14</v>
      </c>
      <c r="C15" s="5" t="s">
        <v>37</v>
      </c>
      <c r="D15" s="6" t="s">
        <v>38</v>
      </c>
      <c r="E15" s="6">
        <f>VLOOKUP(C15,FeaturePool!$C$6:$F$26,3,FALSE)</f>
        <v>7</v>
      </c>
      <c r="F15" s="6">
        <f>VLOOKUP(C15,FeaturePool!$C$6:$F$26,4,FALSE)</f>
        <v>0.2</v>
      </c>
      <c r="G15" s="10">
        <v>10</v>
      </c>
      <c r="H15" s="8" t="s">
        <v>36</v>
      </c>
    </row>
    <row r="16" spans="1:10" ht="6" customHeight="1" x14ac:dyDescent="0.3">
      <c r="E16" s="19"/>
      <c r="F16" s="19"/>
    </row>
    <row r="17" spans="1:8" ht="18" customHeight="1" x14ac:dyDescent="0.3">
      <c r="A17" s="4" t="s">
        <v>39</v>
      </c>
      <c r="B17" s="5" t="s">
        <v>40</v>
      </c>
      <c r="C17" s="9" t="s">
        <v>41</v>
      </c>
      <c r="D17" s="8" t="s">
        <v>42</v>
      </c>
      <c r="E17" s="19">
        <f>VLOOKUP(C17,FeaturePool!$C$26:$F$44,3,FALSE)</f>
        <v>9</v>
      </c>
      <c r="F17" s="19">
        <f>VLOOKUP(C17,FeaturePool!$C$26:$F$44,4,FALSE)</f>
        <v>0.16700000000000001</v>
      </c>
      <c r="G17" s="7">
        <v>1</v>
      </c>
      <c r="H17" s="6"/>
    </row>
    <row r="18" spans="1:8" ht="18" customHeight="1" x14ac:dyDescent="0.3">
      <c r="A18" s="8"/>
      <c r="B18" s="9" t="s">
        <v>40</v>
      </c>
      <c r="C18" s="5" t="s">
        <v>43</v>
      </c>
      <c r="D18" s="6" t="s">
        <v>44</v>
      </c>
      <c r="E18" s="6">
        <f>VLOOKUP(C18,FeaturePool!$C$26:$F$44,3,FALSE)</f>
        <v>12</v>
      </c>
      <c r="F18" s="6">
        <f>VLOOKUP(C18,FeaturePool!$C$26:$F$44,4,FALSE)</f>
        <v>0.33300000000000002</v>
      </c>
      <c r="G18" s="10">
        <v>2</v>
      </c>
      <c r="H18" s="8" t="s">
        <v>45</v>
      </c>
    </row>
    <row r="19" spans="1:8" ht="18" customHeight="1" x14ac:dyDescent="0.3">
      <c r="A19" s="6"/>
      <c r="B19" s="5" t="s">
        <v>40</v>
      </c>
      <c r="C19" s="9" t="s">
        <v>46</v>
      </c>
      <c r="D19" s="8" t="s">
        <v>47</v>
      </c>
      <c r="E19" s="19">
        <f>VLOOKUP(C19,FeaturePool!$C$26:$F$44,3,FALSE)</f>
        <v>3</v>
      </c>
      <c r="F19" s="19">
        <f>VLOOKUP(C19,FeaturePool!$C$26:$F$44,4,FALSE)</f>
        <v>0.14299999999999999</v>
      </c>
      <c r="G19" s="7">
        <v>3</v>
      </c>
      <c r="H19" s="6"/>
    </row>
    <row r="20" spans="1:8" ht="18" customHeight="1" x14ac:dyDescent="0.3">
      <c r="A20" s="8"/>
      <c r="B20" s="9" t="s">
        <v>40</v>
      </c>
      <c r="C20" s="5" t="s">
        <v>48</v>
      </c>
      <c r="D20" s="6" t="s">
        <v>49</v>
      </c>
      <c r="E20" s="6">
        <f>VLOOKUP(C20,FeaturePool!$C$26:$F$44,3,FALSE)</f>
        <v>11</v>
      </c>
      <c r="F20" s="6">
        <f>VLOOKUP(C20,FeaturePool!$C$26:$F$44,4,FALSE)</f>
        <v>0.33300000000000002</v>
      </c>
      <c r="G20" s="10">
        <v>4</v>
      </c>
      <c r="H20" s="8"/>
    </row>
    <row r="21" spans="1:8" ht="18" customHeight="1" x14ac:dyDescent="0.3">
      <c r="A21" s="6"/>
      <c r="B21" s="5" t="s">
        <v>40</v>
      </c>
      <c r="C21" s="5" t="s">
        <v>50</v>
      </c>
      <c r="D21" s="6" t="s">
        <v>51</v>
      </c>
      <c r="E21" s="6">
        <f>VLOOKUP(C21,FeaturePool!$C$26:$F$44,3,FALSE)</f>
        <v>5</v>
      </c>
      <c r="F21" s="6">
        <f>VLOOKUP(C21,FeaturePool!$C$26:$F$44,4,FALSE)</f>
        <v>0.125</v>
      </c>
      <c r="G21" s="7">
        <v>5</v>
      </c>
      <c r="H21" s="6"/>
    </row>
    <row r="22" spans="1:8" ht="18" customHeight="1" x14ac:dyDescent="0.3">
      <c r="A22" s="8"/>
      <c r="B22" s="9" t="s">
        <v>40</v>
      </c>
      <c r="C22" s="18" t="s">
        <v>52</v>
      </c>
      <c r="D22" s="19" t="s">
        <v>53</v>
      </c>
      <c r="E22" s="19">
        <f>VLOOKUP(C22,FeaturePool!$C$26:$F$44,3,FALSE)</f>
        <v>7</v>
      </c>
      <c r="F22" s="19">
        <f>VLOOKUP(C22,FeaturePool!$C$26:$F$44,4,FALSE)</f>
        <v>8.3000000000000004E-2</v>
      </c>
      <c r="G22" s="10">
        <v>6</v>
      </c>
      <c r="H22" s="8"/>
    </row>
    <row r="23" spans="1:8" ht="18" customHeight="1" x14ac:dyDescent="0.3">
      <c r="A23" s="6"/>
      <c r="B23" s="5" t="s">
        <v>40</v>
      </c>
      <c r="C23" s="9" t="s">
        <v>54</v>
      </c>
      <c r="D23" s="8" t="s">
        <v>55</v>
      </c>
      <c r="E23" s="19">
        <f>VLOOKUP(C23,FeaturePool!$C$26:$F$44,3,FALSE)</f>
        <v>5</v>
      </c>
      <c r="F23" s="19">
        <f>VLOOKUP(C23,FeaturePool!$C$26:$F$44,4,FALSE)</f>
        <v>0.25</v>
      </c>
      <c r="G23" s="7">
        <v>7</v>
      </c>
      <c r="H23" s="6"/>
    </row>
    <row r="24" spans="1:8" ht="18" customHeight="1" x14ac:dyDescent="0.3">
      <c r="A24" s="8"/>
      <c r="B24" s="9" t="s">
        <v>40</v>
      </c>
      <c r="C24" s="9" t="s">
        <v>56</v>
      </c>
      <c r="D24" s="8" t="s">
        <v>57</v>
      </c>
      <c r="E24" s="19">
        <f>VLOOKUP(C24,FeaturePool!$C$26:$F$44,3,FALSE)</f>
        <v>3</v>
      </c>
      <c r="F24" s="19">
        <f>VLOOKUP(C24,FeaturePool!$C$26:$F$44,4,FALSE)</f>
        <v>0.2</v>
      </c>
      <c r="G24" s="10">
        <v>8</v>
      </c>
      <c r="H24" s="8"/>
    </row>
    <row r="25" spans="1:8" ht="18" customHeight="1" x14ac:dyDescent="0.3">
      <c r="A25" s="6"/>
      <c r="B25" s="5" t="s">
        <v>40</v>
      </c>
      <c r="C25" s="9" t="s">
        <v>58</v>
      </c>
      <c r="D25" s="8" t="s">
        <v>59</v>
      </c>
      <c r="E25" s="19">
        <f>VLOOKUP(C25,FeaturePool!$C$26:$F$44,3,FALSE)</f>
        <v>2</v>
      </c>
      <c r="F25" s="19">
        <f>VLOOKUP(C25,FeaturePool!$C$26:$F$44,4,FALSE)</f>
        <v>0.25</v>
      </c>
      <c r="G25" s="7">
        <v>9</v>
      </c>
      <c r="H25" s="6"/>
    </row>
    <row r="26" spans="1:8" ht="18" customHeight="1" x14ac:dyDescent="0.3">
      <c r="A26" s="8"/>
      <c r="B26" s="9" t="s">
        <v>40</v>
      </c>
      <c r="C26" s="9" t="s">
        <v>60</v>
      </c>
      <c r="D26" s="8" t="s">
        <v>61</v>
      </c>
      <c r="E26" s="19">
        <f>VLOOKUP(C26,FeaturePool!$C$26:$F$44,3,FALSE)</f>
        <v>11</v>
      </c>
      <c r="F26" s="19">
        <f>VLOOKUP(C26,FeaturePool!$C$26:$F$44,4,FALSE)</f>
        <v>0.25</v>
      </c>
      <c r="G26" s="10">
        <v>10</v>
      </c>
      <c r="H26" s="8"/>
    </row>
    <row r="27" spans="1:8" ht="6" customHeight="1" x14ac:dyDescent="0.3">
      <c r="E27" s="19"/>
      <c r="F27" s="19"/>
    </row>
    <row r="28" spans="1:8" ht="18" customHeight="1" x14ac:dyDescent="0.3">
      <c r="A28" s="4" t="s">
        <v>62</v>
      </c>
      <c r="B28" s="5" t="s">
        <v>63</v>
      </c>
      <c r="C28" s="5" t="s">
        <v>64</v>
      </c>
      <c r="D28" s="6" t="s">
        <v>65</v>
      </c>
      <c r="E28" s="19">
        <f>VLOOKUP(C28,FeaturePool!$C$45:$F$66,3,FALSE)</f>
        <v>11</v>
      </c>
      <c r="F28" s="19">
        <f>VLOOKUP(C28,FeaturePool!$C$45:$F$66,4,FALSE)</f>
        <v>0.33300000000000002</v>
      </c>
      <c r="G28" s="7">
        <v>1</v>
      </c>
      <c r="H28" s="6"/>
    </row>
    <row r="29" spans="1:8" ht="18" customHeight="1" x14ac:dyDescent="0.3">
      <c r="A29" s="8"/>
      <c r="B29" s="9"/>
      <c r="C29" s="9" t="s">
        <v>66</v>
      </c>
      <c r="D29" s="8" t="s">
        <v>67</v>
      </c>
      <c r="E29" s="19">
        <f>VLOOKUP(C29,FeaturePool!$C$45:$F$66,3,FALSE)</f>
        <v>3</v>
      </c>
      <c r="F29" s="19">
        <f>VLOOKUP(C29,FeaturePool!$C$45:$F$66,4,FALSE)</f>
        <v>0.33300000000000002</v>
      </c>
      <c r="G29" s="10">
        <v>2</v>
      </c>
      <c r="H29" s="8"/>
    </row>
    <row r="30" spans="1:8" ht="18" customHeight="1" x14ac:dyDescent="0.3">
      <c r="A30" s="6"/>
      <c r="B30" s="5"/>
      <c r="C30" s="5" t="s">
        <v>68</v>
      </c>
      <c r="D30" s="6" t="s">
        <v>69</v>
      </c>
      <c r="E30" s="6">
        <f>VLOOKUP(C30,FeaturePool!$C$45:$F$66,3,FALSE)</f>
        <v>3</v>
      </c>
      <c r="F30" s="6">
        <f>VLOOKUP(C30,FeaturePool!$C$45:$F$66,4,FALSE)</f>
        <v>0.14299999999999999</v>
      </c>
      <c r="G30" s="7">
        <v>3</v>
      </c>
      <c r="H30" s="6"/>
    </row>
    <row r="31" spans="1:8" ht="18" customHeight="1" x14ac:dyDescent="0.3">
      <c r="A31" s="8"/>
      <c r="B31" s="9"/>
      <c r="C31" s="9" t="s">
        <v>70</v>
      </c>
      <c r="D31" s="8" t="s">
        <v>71</v>
      </c>
      <c r="E31" s="19">
        <f>VLOOKUP(C31,FeaturePool!$C$45:$F$66,3,FALSE)</f>
        <v>10</v>
      </c>
      <c r="F31" s="19">
        <f>VLOOKUP(C31,FeaturePool!$C$45:$F$66,4,FALSE)</f>
        <v>0.2</v>
      </c>
      <c r="G31" s="10">
        <v>4</v>
      </c>
      <c r="H31" s="8"/>
    </row>
    <row r="32" spans="1:8" ht="18" customHeight="1" x14ac:dyDescent="0.3">
      <c r="A32" s="6"/>
      <c r="B32" s="5"/>
      <c r="C32" s="9" t="s">
        <v>72</v>
      </c>
      <c r="D32" s="8" t="s">
        <v>73</v>
      </c>
      <c r="E32" s="6">
        <f>VLOOKUP(C32,FeaturePool!$C$45:$F$66,3,FALSE)</f>
        <v>6</v>
      </c>
      <c r="F32" s="6">
        <f>VLOOKUP(C32,FeaturePool!$C$45:$F$66,4,FALSE)</f>
        <v>0.33300000000000002</v>
      </c>
      <c r="G32" s="7">
        <v>5</v>
      </c>
      <c r="H32" s="6"/>
    </row>
    <row r="33" spans="1:8" ht="18" customHeight="1" x14ac:dyDescent="0.3">
      <c r="A33" s="8"/>
      <c r="B33" s="9"/>
      <c r="C33" s="5" t="s">
        <v>74</v>
      </c>
      <c r="D33" s="6" t="s">
        <v>75</v>
      </c>
      <c r="E33" s="19">
        <f>VLOOKUP(C33,FeaturePool!$C$45:$F$66,3,FALSE)</f>
        <v>5</v>
      </c>
      <c r="F33" s="19">
        <f>VLOOKUP(C33,FeaturePool!$C$45:$F$66,4,FALSE)</f>
        <v>0.2</v>
      </c>
      <c r="G33" s="10">
        <v>6</v>
      </c>
      <c r="H33" s="8"/>
    </row>
    <row r="34" spans="1:8" ht="18" customHeight="1" x14ac:dyDescent="0.3">
      <c r="A34" s="6"/>
      <c r="B34" s="5"/>
      <c r="C34" s="5" t="s">
        <v>76</v>
      </c>
      <c r="D34" s="6" t="s">
        <v>77</v>
      </c>
      <c r="E34" s="6">
        <f>VLOOKUP(C34,FeaturePool!$C$45:$F$66,3,FALSE)</f>
        <v>2</v>
      </c>
      <c r="F34" s="6">
        <f>VLOOKUP(C34,FeaturePool!$C$45:$F$66,4,FALSE)</f>
        <v>0.25</v>
      </c>
      <c r="G34" s="7">
        <v>7</v>
      </c>
      <c r="H34" s="6"/>
    </row>
    <row r="35" spans="1:8" ht="18" customHeight="1" x14ac:dyDescent="0.3">
      <c r="A35" s="8"/>
      <c r="B35" s="9"/>
      <c r="C35" s="9" t="s">
        <v>78</v>
      </c>
      <c r="D35" s="8" t="s">
        <v>79</v>
      </c>
      <c r="E35" s="19">
        <f>VLOOKUP(C35,FeaturePool!$C$45:$F$66,3,FALSE)</f>
        <v>1</v>
      </c>
      <c r="F35" s="19">
        <f>VLOOKUP(C35,FeaturePool!$C$45:$F$66,4,FALSE)</f>
        <v>0.05</v>
      </c>
      <c r="G35" s="10">
        <v>8</v>
      </c>
      <c r="H35" s="8"/>
    </row>
    <row r="36" spans="1:8" ht="18" customHeight="1" x14ac:dyDescent="0.3">
      <c r="A36" s="6"/>
      <c r="B36" s="5"/>
      <c r="C36" s="9" t="s">
        <v>80</v>
      </c>
      <c r="D36" s="8" t="s">
        <v>81</v>
      </c>
      <c r="E36" s="6">
        <f>VLOOKUP(C36,FeaturePool!$C$45:$F$66,3,FALSE)</f>
        <v>2</v>
      </c>
      <c r="F36" s="6">
        <f>VLOOKUP(C36,FeaturePool!$C$45:$F$66,4,FALSE)</f>
        <v>0.25</v>
      </c>
      <c r="G36" s="7">
        <v>9</v>
      </c>
      <c r="H36" s="6"/>
    </row>
    <row r="37" spans="1:8" ht="18" customHeight="1" x14ac:dyDescent="0.3">
      <c r="A37" s="8"/>
      <c r="B37" s="9"/>
      <c r="C37" s="5" t="s">
        <v>82</v>
      </c>
      <c r="D37" s="6" t="s">
        <v>83</v>
      </c>
      <c r="E37" s="19">
        <f>VLOOKUP(C37,FeaturePool!$C$45:$F$66,3,FALSE)</f>
        <v>5</v>
      </c>
      <c r="F37" s="19">
        <f>VLOOKUP(C37,FeaturePool!$C$45:$F$66,4,FALSE)</f>
        <v>0.2</v>
      </c>
      <c r="G37" s="10">
        <v>10</v>
      </c>
      <c r="H37" s="8"/>
    </row>
    <row r="38" spans="1:8" ht="6" customHeight="1" x14ac:dyDescent="0.3">
      <c r="E38" s="19"/>
      <c r="F38" s="19"/>
    </row>
    <row r="39" spans="1:8" ht="18" customHeight="1" x14ac:dyDescent="0.3">
      <c r="A39" s="4" t="s">
        <v>84</v>
      </c>
      <c r="B39" s="5" t="s">
        <v>85</v>
      </c>
      <c r="C39" s="5" t="s">
        <v>15</v>
      </c>
      <c r="D39" s="6" t="s">
        <v>16</v>
      </c>
      <c r="E39" s="19">
        <f>VLOOKUP(C39,FeaturePool!$C$67:$F$89,3,FALSE)</f>
        <v>11</v>
      </c>
      <c r="F39" s="19">
        <f>VLOOKUP(C39,FeaturePool!$C$67:$F$89,4,FALSE)</f>
        <v>0.125</v>
      </c>
      <c r="G39" s="7">
        <v>1</v>
      </c>
      <c r="H39" s="6"/>
    </row>
    <row r="40" spans="1:8" ht="18" customHeight="1" x14ac:dyDescent="0.3">
      <c r="A40" s="8"/>
      <c r="B40" s="9"/>
      <c r="C40" s="5" t="s">
        <v>86</v>
      </c>
      <c r="D40" s="6" t="s">
        <v>87</v>
      </c>
      <c r="E40" s="19">
        <f>VLOOKUP(C40,FeaturePool!$C$67:$F$89,3,FALSE)</f>
        <v>2</v>
      </c>
      <c r="F40" s="19">
        <f>VLOOKUP(C40,FeaturePool!$C$67:$F$89,4,FALSE)</f>
        <v>0.25</v>
      </c>
      <c r="G40" s="10">
        <v>2</v>
      </c>
      <c r="H40" s="8"/>
    </row>
    <row r="41" spans="1:8" ht="18" customHeight="1" x14ac:dyDescent="0.3">
      <c r="A41" s="6"/>
      <c r="B41" s="5"/>
      <c r="C41" s="9" t="s">
        <v>88</v>
      </c>
      <c r="D41" s="8" t="s">
        <v>89</v>
      </c>
      <c r="E41" s="19">
        <f>VLOOKUP(C41,FeaturePool!$C$67:$F$89,3,FALSE)</f>
        <v>5</v>
      </c>
      <c r="F41" s="19">
        <f>VLOOKUP(C41,FeaturePool!$C$67:$F$89,4,FALSE)</f>
        <v>0.1</v>
      </c>
      <c r="G41" s="7">
        <v>3</v>
      </c>
      <c r="H41" s="6"/>
    </row>
    <row r="42" spans="1:8" ht="18" customHeight="1" x14ac:dyDescent="0.3">
      <c r="A42" s="8"/>
      <c r="B42" s="9"/>
      <c r="C42" s="9" t="s">
        <v>90</v>
      </c>
      <c r="D42" s="8" t="s">
        <v>91</v>
      </c>
      <c r="E42" s="19">
        <f>VLOOKUP(C42,FeaturePool!$C$67:$F$89,3,FALSE)</f>
        <v>11</v>
      </c>
      <c r="F42" s="19">
        <f>VLOOKUP(C42,FeaturePool!$C$67:$F$89,4,FALSE)</f>
        <v>9.0999999999999998E-2</v>
      </c>
      <c r="G42" s="10">
        <v>4</v>
      </c>
      <c r="H42" s="8"/>
    </row>
    <row r="43" spans="1:8" ht="18" customHeight="1" x14ac:dyDescent="0.3">
      <c r="A43" s="6"/>
      <c r="B43" s="5"/>
      <c r="C43" s="9" t="s">
        <v>37</v>
      </c>
      <c r="D43" s="8" t="s">
        <v>38</v>
      </c>
      <c r="E43" s="19">
        <f>VLOOKUP(C43,FeaturePool!$C$67:$F$89,3,FALSE)</f>
        <v>2</v>
      </c>
      <c r="F43" s="19">
        <f>VLOOKUP(C43,FeaturePool!$C$67:$F$89,4,FALSE)</f>
        <v>0.2</v>
      </c>
      <c r="G43" s="7">
        <v>5</v>
      </c>
      <c r="H43" s="6"/>
    </row>
    <row r="44" spans="1:8" ht="18" customHeight="1" x14ac:dyDescent="0.3">
      <c r="A44" s="8"/>
      <c r="B44" s="9"/>
      <c r="C44" s="5" t="s">
        <v>18</v>
      </c>
      <c r="D44" s="6" t="s">
        <v>19</v>
      </c>
      <c r="E44" s="19">
        <f>VLOOKUP(C44,FeaturePool!$C$67:$F$89,3,FALSE)</f>
        <v>2</v>
      </c>
      <c r="F44" s="19">
        <f>VLOOKUP(C44,FeaturePool!$C$67:$F$89,4,FALSE)</f>
        <v>0.111</v>
      </c>
      <c r="G44" s="10">
        <v>6</v>
      </c>
      <c r="H44" s="8"/>
    </row>
    <row r="45" spans="1:8" ht="18" customHeight="1" x14ac:dyDescent="0.3">
      <c r="A45" s="6"/>
      <c r="B45" s="5"/>
      <c r="C45" s="9" t="s">
        <v>92</v>
      </c>
      <c r="D45" s="8" t="s">
        <v>93</v>
      </c>
      <c r="E45" s="19">
        <f>VLOOKUP(C45,FeaturePool!$C$67:$F$89,3,FALSE)</f>
        <v>3</v>
      </c>
      <c r="F45" s="19">
        <f>VLOOKUP(C45,FeaturePool!$C$67:$F$89,4,FALSE)</f>
        <v>9.0999999999999998E-2</v>
      </c>
      <c r="G45" s="7">
        <v>7</v>
      </c>
      <c r="H45" s="6"/>
    </row>
    <row r="46" spans="1:8" ht="18" customHeight="1" x14ac:dyDescent="0.3">
      <c r="A46" s="8"/>
      <c r="B46" s="9"/>
      <c r="C46" s="5" t="s">
        <v>94</v>
      </c>
      <c r="D46" s="6" t="s">
        <v>95</v>
      </c>
      <c r="E46" s="19">
        <f>VLOOKUP(C46,FeaturePool!$C$67:$F$89,3,FALSE)</f>
        <v>4</v>
      </c>
      <c r="F46" s="19">
        <f>VLOOKUP(C46,FeaturePool!$C$67:$F$89,4,FALSE)</f>
        <v>0.1</v>
      </c>
      <c r="G46" s="10">
        <v>8</v>
      </c>
      <c r="H46" s="8"/>
    </row>
    <row r="47" spans="1:8" ht="18" customHeight="1" x14ac:dyDescent="0.3">
      <c r="A47" s="6"/>
      <c r="B47" s="5"/>
      <c r="C47" s="5" t="s">
        <v>96</v>
      </c>
      <c r="D47" s="6" t="s">
        <v>97</v>
      </c>
      <c r="E47" s="19">
        <f>VLOOKUP(C47,FeaturePool!$C$67:$F$89,3,FALSE)</f>
        <v>3</v>
      </c>
      <c r="F47" s="19">
        <f>VLOOKUP(C47,FeaturePool!$C$67:$F$89,4,FALSE)</f>
        <v>0.2</v>
      </c>
      <c r="G47" s="7">
        <v>9</v>
      </c>
      <c r="H47" s="6"/>
    </row>
    <row r="48" spans="1:8" ht="18" customHeight="1" x14ac:dyDescent="0.3">
      <c r="A48" s="8"/>
      <c r="B48" s="9"/>
      <c r="C48" s="5" t="s">
        <v>98</v>
      </c>
      <c r="D48" s="6" t="s">
        <v>99</v>
      </c>
      <c r="E48" s="19">
        <f>VLOOKUP(C48,FeaturePool!$C$67:$F$89,3,FALSE)</f>
        <v>1</v>
      </c>
      <c r="F48" s="19">
        <f>VLOOKUP(C48,FeaturePool!$C$67:$F$89,4,FALSE)</f>
        <v>0.33300000000000002</v>
      </c>
      <c r="G48" s="10">
        <v>10</v>
      </c>
      <c r="H48" s="8"/>
    </row>
    <row r="49" spans="1:10" ht="6" customHeight="1" x14ac:dyDescent="0.3">
      <c r="E49" s="19"/>
      <c r="F49" s="19"/>
    </row>
    <row r="50" spans="1:10" ht="18" customHeight="1" x14ac:dyDescent="0.3">
      <c r="A50" s="24" t="s">
        <v>100</v>
      </c>
      <c r="B50" s="23" t="s">
        <v>101</v>
      </c>
      <c r="C50" s="5" t="s">
        <v>102</v>
      </c>
      <c r="D50" s="6" t="s">
        <v>103</v>
      </c>
      <c r="E50" s="19">
        <f>VLOOKUP(C50,FeaturePool!$C$90:$F$110,3,FALSE)</f>
        <v>6</v>
      </c>
      <c r="F50" s="6">
        <f>VLOOKUP(C50,FeaturePool!$C$90:$F$110,4,FALSE)</f>
        <v>0.33300000000000002</v>
      </c>
      <c r="G50" s="7">
        <v>1</v>
      </c>
      <c r="H50" s="6"/>
    </row>
    <row r="51" spans="1:10" ht="18" customHeight="1" x14ac:dyDescent="0.3">
      <c r="A51" s="8"/>
      <c r="B51" s="9"/>
      <c r="C51" s="18" t="s">
        <v>104</v>
      </c>
      <c r="D51" s="19" t="s">
        <v>105</v>
      </c>
      <c r="E51" s="19">
        <f>VLOOKUP(C51,FeaturePool!$C$90:$F$110,3,FALSE)</f>
        <v>5</v>
      </c>
      <c r="F51" s="19">
        <f>VLOOKUP(C51,FeaturePool!$C$90:$F$110,4,FALSE)</f>
        <v>0.33300000000000002</v>
      </c>
      <c r="G51" s="10">
        <v>2</v>
      </c>
      <c r="H51" s="8"/>
    </row>
    <row r="52" spans="1:10" ht="18" customHeight="1" x14ac:dyDescent="0.3">
      <c r="A52" s="6"/>
      <c r="B52" s="5"/>
      <c r="C52" s="5" t="s">
        <v>106</v>
      </c>
      <c r="D52" s="6" t="s">
        <v>107</v>
      </c>
      <c r="E52" s="6">
        <f>VLOOKUP(C52,FeaturePool!$C$90:$F$110,3,FALSE)</f>
        <v>7</v>
      </c>
      <c r="F52" s="19">
        <f>VLOOKUP(C52,FeaturePool!$C$90:$F$110,4,FALSE)</f>
        <v>0.2</v>
      </c>
      <c r="G52" s="7">
        <v>3</v>
      </c>
      <c r="H52" s="6"/>
    </row>
    <row r="53" spans="1:10" ht="18" customHeight="1" x14ac:dyDescent="0.3">
      <c r="A53" s="8"/>
      <c r="B53" s="9"/>
      <c r="C53" s="9" t="s">
        <v>41</v>
      </c>
      <c r="D53" s="6" t="s">
        <v>108</v>
      </c>
      <c r="E53" s="19">
        <f>VLOOKUP(C53,FeaturePool!$C$90:$F$110,3,FALSE)</f>
        <v>4</v>
      </c>
      <c r="F53" s="19">
        <f>VLOOKUP(C53,FeaturePool!$C$90:$F$110,4,FALSE)</f>
        <v>0.16700000000000001</v>
      </c>
      <c r="G53" s="10">
        <v>4</v>
      </c>
      <c r="H53" s="8"/>
    </row>
    <row r="54" spans="1:10" ht="18" customHeight="1" x14ac:dyDescent="0.3">
      <c r="A54" s="6"/>
      <c r="B54" s="5"/>
      <c r="C54" s="5" t="s">
        <v>109</v>
      </c>
      <c r="D54" s="8" t="s">
        <v>42</v>
      </c>
      <c r="E54" s="6">
        <f>VLOOKUP(C54,FeaturePool!$C$90:$F$110,3,FALSE)</f>
        <v>1</v>
      </c>
      <c r="F54" s="6">
        <f>VLOOKUP(C54,FeaturePool!$C$90:$F$110,4,FALSE)</f>
        <v>0.14299999999999999</v>
      </c>
      <c r="G54" s="7">
        <v>5</v>
      </c>
      <c r="H54" s="6"/>
    </row>
    <row r="55" spans="1:10" ht="18" customHeight="1" x14ac:dyDescent="0.3">
      <c r="A55" s="8"/>
      <c r="B55" s="9"/>
      <c r="C55" s="9" t="s">
        <v>110</v>
      </c>
      <c r="D55" s="8" t="s">
        <v>51</v>
      </c>
      <c r="E55" s="19">
        <f>VLOOKUP(C55,FeaturePool!$C$90:$F$110,3,FALSE)</f>
        <v>1</v>
      </c>
      <c r="F55" s="19">
        <f>VLOOKUP(C55,FeaturePool!$C$90:$F$110,4,FALSE)</f>
        <v>0.33300000000000002</v>
      </c>
      <c r="G55" s="10">
        <v>6</v>
      </c>
      <c r="H55" s="8"/>
      <c r="J55" s="25"/>
    </row>
    <row r="56" spans="1:10" ht="18" customHeight="1" x14ac:dyDescent="0.3">
      <c r="A56" s="6"/>
      <c r="B56" s="5"/>
      <c r="C56" s="5" t="s">
        <v>50</v>
      </c>
      <c r="D56" s="8" t="s">
        <v>111</v>
      </c>
      <c r="E56" s="6">
        <f>VLOOKUP(C56,FeaturePool!$C$90:$F$110,3,FALSE)</f>
        <v>2</v>
      </c>
      <c r="F56" s="6">
        <f>VLOOKUP(C56,FeaturePool!$C$90:$F$110,4,FALSE)</f>
        <v>0.125</v>
      </c>
      <c r="G56" s="7">
        <v>7</v>
      </c>
      <c r="H56" s="6"/>
      <c r="J56" s="25"/>
    </row>
    <row r="57" spans="1:10" ht="18" customHeight="1" x14ac:dyDescent="0.3">
      <c r="A57" s="8"/>
      <c r="B57" s="9"/>
      <c r="C57" s="9" t="s">
        <v>46</v>
      </c>
      <c r="D57" s="8" t="s">
        <v>47</v>
      </c>
      <c r="E57" s="19">
        <f>VLOOKUP(C57,FeaturePool!$C$90:$F$110,3,FALSE)</f>
        <v>4</v>
      </c>
      <c r="F57" s="19">
        <f>VLOOKUP(C57,FeaturePool!$C$90:$F$110,4,FALSE)</f>
        <v>0.14299999999999999</v>
      </c>
      <c r="G57" s="10">
        <v>8</v>
      </c>
      <c r="H57" s="8"/>
    </row>
    <row r="58" spans="1:10" ht="18" customHeight="1" x14ac:dyDescent="0.3">
      <c r="A58" s="22"/>
      <c r="B58" s="23"/>
      <c r="C58" s="20" t="s">
        <v>56</v>
      </c>
      <c r="D58" s="21" t="s">
        <v>57</v>
      </c>
      <c r="E58" s="19">
        <f>VLOOKUP(C58,FeaturePool!$C$90:$F$110,3,FALSE)</f>
        <v>14</v>
      </c>
      <c r="F58" s="6">
        <f>VLOOKUP(C58,FeaturePool!$C$90:$F$110,4,FALSE)</f>
        <v>0.2</v>
      </c>
      <c r="G58" s="7">
        <v>9</v>
      </c>
      <c r="H58" s="6"/>
    </row>
    <row r="59" spans="1:10" ht="18" customHeight="1" x14ac:dyDescent="0.3">
      <c r="A59" s="8"/>
      <c r="B59" s="9"/>
      <c r="C59" s="9" t="s">
        <v>112</v>
      </c>
      <c r="D59" s="8" t="s">
        <v>113</v>
      </c>
      <c r="E59" s="19">
        <f>VLOOKUP(C59,FeaturePool!$C$90:$F$110,3,FALSE)</f>
        <v>2</v>
      </c>
      <c r="F59" s="19">
        <f>VLOOKUP(C59,FeaturePool!$C$90:$F$110,4,FALSE)</f>
        <v>0.1</v>
      </c>
      <c r="G59" s="10">
        <v>10</v>
      </c>
      <c r="H59" s="8"/>
    </row>
    <row r="60" spans="1:10" ht="6" customHeight="1" x14ac:dyDescent="0.3">
      <c r="E60" s="19"/>
      <c r="F60" s="19"/>
    </row>
    <row r="61" spans="1:10" ht="18" customHeight="1" x14ac:dyDescent="0.3">
      <c r="A61" s="4" t="s">
        <v>114</v>
      </c>
      <c r="B61" s="5" t="s">
        <v>115</v>
      </c>
      <c r="C61" s="20" t="s">
        <v>116</v>
      </c>
      <c r="D61" s="21" t="s">
        <v>117</v>
      </c>
      <c r="E61" s="19">
        <f>VLOOKUP(C61,FeaturePool!$C$111:$F$141,3,FALSE)</f>
        <v>15</v>
      </c>
      <c r="F61" s="19">
        <f>VLOOKUP(C61,FeaturePool!$C$111:$F$141,4,FALSE)</f>
        <v>0.14299999999999999</v>
      </c>
      <c r="G61" s="7">
        <v>1</v>
      </c>
      <c r="H61" s="6"/>
    </row>
    <row r="62" spans="1:10" ht="18" customHeight="1" x14ac:dyDescent="0.3">
      <c r="A62" s="8"/>
      <c r="B62" s="9"/>
      <c r="C62" s="9" t="s">
        <v>50</v>
      </c>
      <c r="D62" s="8" t="s">
        <v>51</v>
      </c>
      <c r="E62" s="19">
        <f>VLOOKUP(C62,FeaturePool!$C$111:$F$141,3,FALSE)</f>
        <v>3</v>
      </c>
      <c r="F62" s="19">
        <f>VLOOKUP(C62,FeaturePool!$C$111:$F$141,4,FALSE)</f>
        <v>0.125</v>
      </c>
      <c r="G62" s="10">
        <v>2</v>
      </c>
      <c r="H62" s="8"/>
    </row>
    <row r="63" spans="1:10" ht="18" customHeight="1" x14ac:dyDescent="0.3">
      <c r="A63" s="6"/>
      <c r="B63" s="5"/>
      <c r="C63" s="20" t="s">
        <v>118</v>
      </c>
      <c r="D63" s="21" t="s">
        <v>119</v>
      </c>
      <c r="E63" s="19">
        <f>VLOOKUP(C63,FeaturePool!$C$111:$F$141,3,FALSE)</f>
        <v>5</v>
      </c>
      <c r="F63" s="19">
        <f>VLOOKUP(C63,FeaturePool!$C$111:$F$141,4,FALSE)</f>
        <v>0.33300000000000002</v>
      </c>
      <c r="G63" s="7">
        <v>3</v>
      </c>
      <c r="H63" s="6"/>
    </row>
    <row r="64" spans="1:10" ht="18" customHeight="1" x14ac:dyDescent="0.3">
      <c r="A64" s="8"/>
      <c r="B64" s="9"/>
      <c r="C64" s="18" t="s">
        <v>120</v>
      </c>
      <c r="D64" s="19" t="s">
        <v>121</v>
      </c>
      <c r="E64" s="19">
        <f>VLOOKUP(C64,FeaturePool!$C$111:$F$141,3,FALSE)</f>
        <v>4</v>
      </c>
      <c r="F64" s="19">
        <f>VLOOKUP(C64,FeaturePool!$C$111:$F$141,4,FALSE)</f>
        <v>0.16700000000000001</v>
      </c>
      <c r="G64" s="10">
        <v>4</v>
      </c>
      <c r="H64" s="8"/>
    </row>
    <row r="65" spans="1:8" ht="18" customHeight="1" x14ac:dyDescent="0.3">
      <c r="A65" s="6"/>
      <c r="B65" s="5"/>
      <c r="C65" s="20" t="s">
        <v>122</v>
      </c>
      <c r="D65" s="21" t="s">
        <v>123</v>
      </c>
      <c r="E65" s="19">
        <f>VLOOKUP(C65,FeaturePool!$C$111:$F$141,3,FALSE)</f>
        <v>1</v>
      </c>
      <c r="F65" s="19">
        <f>VLOOKUP(C65,FeaturePool!$C$111:$F$141,4,FALSE)</f>
        <v>0.33300000000000002</v>
      </c>
      <c r="G65" s="7">
        <v>5</v>
      </c>
      <c r="H65" s="6"/>
    </row>
    <row r="66" spans="1:8" ht="18" customHeight="1" x14ac:dyDescent="0.3">
      <c r="A66" s="8"/>
      <c r="B66" s="9"/>
      <c r="C66" s="5" t="s">
        <v>124</v>
      </c>
      <c r="D66" s="6" t="s">
        <v>125</v>
      </c>
      <c r="E66" s="19">
        <f>VLOOKUP(C66,FeaturePool!$C$111:$F$141,3,FALSE)</f>
        <v>2</v>
      </c>
      <c r="F66" s="19">
        <f>VLOOKUP(C66,FeaturePool!$C$111:$F$141,4,FALSE)</f>
        <v>0.25</v>
      </c>
      <c r="G66" s="10">
        <v>6</v>
      </c>
      <c r="H66" s="8"/>
    </row>
    <row r="67" spans="1:8" ht="18" customHeight="1" x14ac:dyDescent="0.3">
      <c r="A67" s="6"/>
      <c r="B67" s="5"/>
      <c r="C67" s="9" t="s">
        <v>126</v>
      </c>
      <c r="D67" s="8" t="s">
        <v>127</v>
      </c>
      <c r="E67" s="19">
        <f>VLOOKUP(C67,FeaturePool!$C$111:$F$141,3,FALSE)</f>
        <v>4</v>
      </c>
      <c r="F67" s="6">
        <f>VLOOKUP(C67,FeaturePool!$C$111:$F$141,4,FALSE)</f>
        <v>0.111</v>
      </c>
      <c r="G67" s="7">
        <v>7</v>
      </c>
      <c r="H67" s="6"/>
    </row>
    <row r="68" spans="1:8" ht="18" customHeight="1" x14ac:dyDescent="0.3">
      <c r="A68" s="8"/>
      <c r="B68" s="9"/>
      <c r="C68" s="18" t="s">
        <v>128</v>
      </c>
      <c r="D68" s="19" t="s">
        <v>129</v>
      </c>
      <c r="E68" s="19">
        <f>VLOOKUP(C68,FeaturePool!$C$111:$F$141,3,FALSE)</f>
        <v>1</v>
      </c>
      <c r="F68" s="19">
        <f>VLOOKUP(C68,FeaturePool!$C$111:$F$141,4,FALSE)</f>
        <v>0.33300000000000002</v>
      </c>
      <c r="G68" s="10">
        <v>8</v>
      </c>
      <c r="H68" s="8"/>
    </row>
    <row r="69" spans="1:8" ht="18" customHeight="1" x14ac:dyDescent="0.3">
      <c r="A69" s="6"/>
      <c r="B69" s="5"/>
      <c r="C69" s="5" t="s">
        <v>130</v>
      </c>
      <c r="D69" s="6" t="s">
        <v>131</v>
      </c>
      <c r="E69" s="19">
        <f>VLOOKUP(C69,FeaturePool!$C$111:$F$141,3,FALSE)</f>
        <v>5</v>
      </c>
      <c r="F69" s="19">
        <f>VLOOKUP(C69,FeaturePool!$C$111:$F$141,4,FALSE)</f>
        <v>0.2</v>
      </c>
      <c r="G69" s="7">
        <v>9</v>
      </c>
      <c r="H69" s="6"/>
    </row>
    <row r="70" spans="1:8" ht="18" customHeight="1" x14ac:dyDescent="0.3">
      <c r="A70" s="8"/>
      <c r="B70" s="9"/>
      <c r="C70" s="18" t="s">
        <v>132</v>
      </c>
      <c r="D70" s="19" t="s">
        <v>133</v>
      </c>
      <c r="E70" s="19">
        <f>VLOOKUP(C70,FeaturePool!$C$111:$F$141,3,FALSE)</f>
        <v>14</v>
      </c>
      <c r="F70" s="19">
        <f>VLOOKUP(C70,FeaturePool!$C$111:$F$141,4,FALSE)</f>
        <v>0.25</v>
      </c>
      <c r="G70" s="10">
        <v>10</v>
      </c>
      <c r="H70" s="8"/>
    </row>
    <row r="71" spans="1:8" ht="6" customHeight="1" x14ac:dyDescent="0.3">
      <c r="E71" s="19"/>
      <c r="F71" s="19"/>
    </row>
    <row r="72" spans="1:8" ht="18" customHeight="1" x14ac:dyDescent="0.3">
      <c r="A72" s="4" t="s">
        <v>134</v>
      </c>
      <c r="B72" s="5" t="s">
        <v>135</v>
      </c>
      <c r="C72" s="5" t="s">
        <v>26</v>
      </c>
      <c r="D72" s="6" t="s">
        <v>27</v>
      </c>
      <c r="E72" s="19">
        <f>VLOOKUP(C72,FeaturePool!$C$142:$F$160,3,FALSE)</f>
        <v>16</v>
      </c>
      <c r="F72" s="19">
        <f>VLOOKUP(C72,FeaturePool!$C$142:$F$160,4,FALSE)</f>
        <v>0.25</v>
      </c>
      <c r="G72" s="7">
        <v>1</v>
      </c>
      <c r="H72" s="6"/>
    </row>
    <row r="73" spans="1:8" ht="18" customHeight="1" x14ac:dyDescent="0.3">
      <c r="A73" s="8"/>
      <c r="B73" s="9"/>
      <c r="C73" s="9" t="s">
        <v>15</v>
      </c>
      <c r="D73" s="8" t="s">
        <v>16</v>
      </c>
      <c r="E73" s="19">
        <f>VLOOKUP(C73,FeaturePool!$C$142:$F$160,3,FALSE)</f>
        <v>7</v>
      </c>
      <c r="F73" s="19">
        <f>VLOOKUP(C73,FeaturePool!$C$142:$F$160,4,FALSE)</f>
        <v>0.125</v>
      </c>
      <c r="G73" s="10">
        <v>2</v>
      </c>
      <c r="H73" s="8"/>
    </row>
    <row r="74" spans="1:8" ht="18" customHeight="1" x14ac:dyDescent="0.3">
      <c r="A74" s="6"/>
      <c r="B74" s="5"/>
      <c r="C74" s="5" t="s">
        <v>136</v>
      </c>
      <c r="D74" s="6" t="s">
        <v>137</v>
      </c>
      <c r="E74" s="19">
        <f>VLOOKUP(C74,FeaturePool!$C$142:$F$160,3,FALSE)</f>
        <v>16</v>
      </c>
      <c r="F74" s="19">
        <f>VLOOKUP(C74,FeaturePool!$C$142:$F$160,4,FALSE)</f>
        <v>0.16700000000000001</v>
      </c>
      <c r="G74" s="7">
        <v>3</v>
      </c>
      <c r="H74" s="6"/>
    </row>
    <row r="75" spans="1:8" ht="18" customHeight="1" x14ac:dyDescent="0.3">
      <c r="A75" s="8"/>
      <c r="B75" s="9"/>
      <c r="C75" s="20" t="s">
        <v>138</v>
      </c>
      <c r="D75" s="21" t="s">
        <v>139</v>
      </c>
      <c r="E75" s="19">
        <f>VLOOKUP(C75,FeaturePool!$C$142:$F$160,3,FALSE)</f>
        <v>17</v>
      </c>
      <c r="F75" s="19">
        <f>VLOOKUP(C75,FeaturePool!$C$142:$F$160,4,FALSE)</f>
        <v>0.33300000000000002</v>
      </c>
      <c r="G75" s="10">
        <v>4</v>
      </c>
      <c r="H75" s="8"/>
    </row>
    <row r="76" spans="1:8" ht="18" customHeight="1" x14ac:dyDescent="0.3">
      <c r="A76" s="6"/>
      <c r="B76" s="5"/>
      <c r="C76" s="20" t="s">
        <v>140</v>
      </c>
      <c r="D76" s="21" t="s">
        <v>141</v>
      </c>
      <c r="E76" s="19">
        <f>VLOOKUP(C76,FeaturePool!$C$142:$F$160,3,FALSE)</f>
        <v>5</v>
      </c>
      <c r="F76" s="19">
        <f>VLOOKUP(C76,FeaturePool!$C$142:$F$160,4,FALSE)</f>
        <v>0.33300000000000002</v>
      </c>
      <c r="G76" s="7">
        <v>5</v>
      </c>
      <c r="H76" s="6"/>
    </row>
    <row r="77" spans="1:8" ht="18" customHeight="1" x14ac:dyDescent="0.3">
      <c r="A77" s="8"/>
      <c r="B77" s="9"/>
      <c r="C77" s="9" t="s">
        <v>142</v>
      </c>
      <c r="D77" s="8" t="s">
        <v>143</v>
      </c>
      <c r="E77" s="19">
        <f>VLOOKUP(C77,FeaturePool!$C$142:$F$160,3,FALSE)</f>
        <v>2</v>
      </c>
      <c r="F77" s="19">
        <f>VLOOKUP(C77,FeaturePool!$C$142:$F$160,4,FALSE)</f>
        <v>0.33300000000000002</v>
      </c>
      <c r="G77" s="10">
        <v>6</v>
      </c>
      <c r="H77" s="8"/>
    </row>
    <row r="78" spans="1:8" ht="18" customHeight="1" x14ac:dyDescent="0.3">
      <c r="A78" s="6"/>
      <c r="B78" s="5"/>
      <c r="C78" s="20" t="s">
        <v>144</v>
      </c>
      <c r="D78" s="21" t="s">
        <v>145</v>
      </c>
      <c r="E78" s="19">
        <f>VLOOKUP(C78,FeaturePool!$C$142:$F$160,3,FALSE)</f>
        <v>2</v>
      </c>
      <c r="F78" s="19">
        <f>VLOOKUP(C78,FeaturePool!$C$142:$F$160,4,FALSE)</f>
        <v>0.2</v>
      </c>
      <c r="G78" s="7">
        <v>7</v>
      </c>
      <c r="H78" s="6"/>
    </row>
    <row r="79" spans="1:8" ht="18" customHeight="1" x14ac:dyDescent="0.3">
      <c r="A79" s="8"/>
      <c r="B79" s="9"/>
      <c r="C79" s="18" t="s">
        <v>96</v>
      </c>
      <c r="D79" s="19" t="s">
        <v>97</v>
      </c>
      <c r="E79" s="19">
        <f>VLOOKUP(C79,FeaturePool!$C$142:$F$160,3,FALSE)</f>
        <v>3</v>
      </c>
      <c r="F79" s="19">
        <f>VLOOKUP(C79,FeaturePool!$C$142:$F$160,4,FALSE)</f>
        <v>0.2</v>
      </c>
      <c r="G79" s="10">
        <v>8</v>
      </c>
      <c r="H79" s="8"/>
    </row>
    <row r="80" spans="1:8" ht="18" customHeight="1" x14ac:dyDescent="0.3">
      <c r="A80" s="6"/>
      <c r="B80" s="5"/>
      <c r="C80" s="20" t="s">
        <v>34</v>
      </c>
      <c r="D80" s="21" t="s">
        <v>35</v>
      </c>
      <c r="E80" s="19">
        <f>VLOOKUP(C80,FeaturePool!$C$142:$F$160,3,FALSE)</f>
        <v>1</v>
      </c>
      <c r="F80" s="19">
        <f>VLOOKUP(C80,FeaturePool!$C$142:$F$160,4,FALSE)</f>
        <v>0.2</v>
      </c>
      <c r="G80" s="7">
        <v>9</v>
      </c>
      <c r="H80" s="6"/>
    </row>
    <row r="81" spans="1:8" ht="18" customHeight="1" x14ac:dyDescent="0.3">
      <c r="A81" s="8"/>
      <c r="B81" s="9"/>
      <c r="C81" s="18" t="s">
        <v>28</v>
      </c>
      <c r="D81" s="19" t="s">
        <v>29</v>
      </c>
      <c r="E81" s="19">
        <f>VLOOKUP(C81,FeaturePool!$C$142:$F$160,3,FALSE)</f>
        <v>2</v>
      </c>
      <c r="F81" s="19">
        <f>VLOOKUP(C81,FeaturePool!$C$142:$F$160,4,FALSE)</f>
        <v>0.2</v>
      </c>
      <c r="G81" s="10">
        <v>10</v>
      </c>
      <c r="H81" s="8"/>
    </row>
    <row r="82" spans="1:8" ht="6" customHeight="1" x14ac:dyDescent="0.3">
      <c r="E82" s="19"/>
      <c r="F82" s="19"/>
    </row>
    <row r="83" spans="1:8" ht="18" customHeight="1" x14ac:dyDescent="0.3">
      <c r="A83" s="4" t="s">
        <v>146</v>
      </c>
      <c r="B83" s="5" t="s">
        <v>147</v>
      </c>
      <c r="C83" s="5" t="s">
        <v>15</v>
      </c>
      <c r="D83" s="6" t="s">
        <v>16</v>
      </c>
      <c r="E83" s="19">
        <f>VLOOKUP(C83,FeaturePool!$C$161:$F$188,3,FALSE)</f>
        <v>11</v>
      </c>
      <c r="F83" s="19">
        <f>VLOOKUP(C83,FeaturePool!$C$161:$F$188,4,FALSE)</f>
        <v>0.125</v>
      </c>
      <c r="G83" s="7">
        <v>1</v>
      </c>
      <c r="H83" s="6"/>
    </row>
    <row r="84" spans="1:8" ht="18" customHeight="1" x14ac:dyDescent="0.3">
      <c r="A84" s="8"/>
      <c r="B84" s="9"/>
      <c r="C84" s="18" t="s">
        <v>26</v>
      </c>
      <c r="D84" s="19" t="s">
        <v>27</v>
      </c>
      <c r="E84" s="19">
        <f>VLOOKUP(C84,FeaturePool!$C$161:$F$188,3,FALSE)</f>
        <v>8</v>
      </c>
      <c r="F84" s="19">
        <f>VLOOKUP(C84,FeaturePool!$C$161:$F$188,4,FALSE)</f>
        <v>0.25</v>
      </c>
      <c r="G84" s="10">
        <v>2</v>
      </c>
      <c r="H84" s="8"/>
    </row>
    <row r="85" spans="1:8" ht="18" customHeight="1" x14ac:dyDescent="0.3">
      <c r="A85" s="6"/>
      <c r="B85" s="5"/>
      <c r="C85" s="5" t="s">
        <v>148</v>
      </c>
      <c r="D85" s="6" t="s">
        <v>149</v>
      </c>
      <c r="E85" s="19">
        <f>VLOOKUP(C85,FeaturePool!$C$161:$F$188,3,FALSE)</f>
        <v>1</v>
      </c>
      <c r="F85" s="19">
        <f>VLOOKUP(C85,FeaturePool!$C$161:$F$188,4,FALSE)</f>
        <v>9.0999999999999998E-2</v>
      </c>
      <c r="G85" s="7">
        <v>3</v>
      </c>
      <c r="H85" s="6"/>
    </row>
    <row r="86" spans="1:8" ht="18" customHeight="1" x14ac:dyDescent="0.3">
      <c r="A86" s="8"/>
      <c r="B86" s="9"/>
      <c r="C86" s="9" t="s">
        <v>20</v>
      </c>
      <c r="D86" s="8" t="s">
        <v>21</v>
      </c>
      <c r="E86" s="19">
        <f>VLOOKUP(C86,FeaturePool!$C$161:$F$188,3,FALSE)</f>
        <v>13</v>
      </c>
      <c r="F86" s="19">
        <f>VLOOKUP(C86,FeaturePool!$C$161:$F$188,4,FALSE)</f>
        <v>0.125</v>
      </c>
      <c r="G86" s="10">
        <v>4</v>
      </c>
      <c r="H86" s="8"/>
    </row>
    <row r="87" spans="1:8" ht="18" customHeight="1" x14ac:dyDescent="0.3">
      <c r="A87" s="6"/>
      <c r="B87" s="5"/>
      <c r="C87" s="20" t="s">
        <v>150</v>
      </c>
      <c r="D87" s="21" t="s">
        <v>151</v>
      </c>
      <c r="E87" s="19">
        <f>VLOOKUP(C87,FeaturePool!$C$161:$F$188,3,FALSE)</f>
        <v>3</v>
      </c>
      <c r="F87" s="19">
        <f>VLOOKUP(C87,FeaturePool!$C$161:$F$188,4,FALSE)</f>
        <v>0.33300000000000002</v>
      </c>
      <c r="G87" s="7">
        <v>5</v>
      </c>
      <c r="H87" s="6"/>
    </row>
    <row r="88" spans="1:8" ht="18" customHeight="1" x14ac:dyDescent="0.3">
      <c r="A88" s="8"/>
      <c r="B88" s="9"/>
      <c r="C88" s="9" t="s">
        <v>37</v>
      </c>
      <c r="D88" s="8" t="s">
        <v>38</v>
      </c>
      <c r="E88" s="19">
        <f>VLOOKUP(C88,FeaturePool!$C$161:$F$188,3,FALSE)</f>
        <v>10</v>
      </c>
      <c r="F88" s="19">
        <f>VLOOKUP(C88,FeaturePool!$C$161:$F$188,4,FALSE)</f>
        <v>0.2</v>
      </c>
      <c r="G88" s="10">
        <v>6</v>
      </c>
      <c r="H88" s="8"/>
    </row>
    <row r="89" spans="1:8" ht="18" customHeight="1" x14ac:dyDescent="0.3">
      <c r="A89" s="6"/>
      <c r="B89" s="5"/>
      <c r="C89" s="5" t="s">
        <v>140</v>
      </c>
      <c r="D89" s="6" t="s">
        <v>141</v>
      </c>
      <c r="E89" s="19">
        <f>VLOOKUP(C89,FeaturePool!$C$161:$F$188,3,FALSE)</f>
        <v>15</v>
      </c>
      <c r="F89" s="19">
        <f>VLOOKUP(C89,FeaturePool!$C$161:$F$188,4,FALSE)</f>
        <v>0.33300000000000002</v>
      </c>
      <c r="G89" s="7">
        <v>7</v>
      </c>
      <c r="H89" s="6"/>
    </row>
    <row r="90" spans="1:8" ht="18" customHeight="1" x14ac:dyDescent="0.3">
      <c r="A90" s="8"/>
      <c r="B90" s="9"/>
      <c r="C90" s="9" t="s">
        <v>32</v>
      </c>
      <c r="D90" s="8" t="s">
        <v>33</v>
      </c>
      <c r="E90" s="19">
        <f>VLOOKUP(C90,FeaturePool!$C$161:$F$188,3,FALSE)</f>
        <v>3</v>
      </c>
      <c r="F90" s="19">
        <f>VLOOKUP(C90,FeaturePool!$C$161:$F$188,4,FALSE)</f>
        <v>9.0999999999999998E-2</v>
      </c>
      <c r="G90" s="10">
        <v>8</v>
      </c>
      <c r="H90" s="8"/>
    </row>
    <row r="91" spans="1:8" ht="18" customHeight="1" x14ac:dyDescent="0.3">
      <c r="A91" s="6"/>
      <c r="B91" s="5"/>
      <c r="C91" s="18" t="s">
        <v>152</v>
      </c>
      <c r="D91" s="19" t="s">
        <v>153</v>
      </c>
      <c r="E91" s="19">
        <f>VLOOKUP(C91,FeaturePool!$C$161:$F$188,3,FALSE)</f>
        <v>3</v>
      </c>
      <c r="F91" s="19">
        <f>VLOOKUP(C91,FeaturePool!$C$161:$F$188,4,FALSE)</f>
        <v>0.33300000000000002</v>
      </c>
      <c r="G91" s="7">
        <v>9</v>
      </c>
      <c r="H91" s="6"/>
    </row>
    <row r="92" spans="1:8" ht="18" customHeight="1" x14ac:dyDescent="0.3">
      <c r="A92" s="8"/>
      <c r="B92" s="9"/>
      <c r="C92" s="9" t="s">
        <v>23</v>
      </c>
      <c r="D92" s="8" t="s">
        <v>24</v>
      </c>
      <c r="E92" s="19">
        <f>VLOOKUP(C92,FeaturePool!$C$161:$F$188,3,FALSE)</f>
        <v>3</v>
      </c>
      <c r="F92" s="19">
        <f>VLOOKUP(C92,FeaturePool!$C$161:$F$188,4,FALSE)</f>
        <v>0.111</v>
      </c>
      <c r="G92" s="10">
        <v>10</v>
      </c>
      <c r="H92" s="8"/>
    </row>
    <row r="93" spans="1:8" ht="6" customHeight="1" x14ac:dyDescent="0.3">
      <c r="E93" s="19"/>
      <c r="F93" s="19"/>
    </row>
    <row r="94" spans="1:8" ht="18" customHeight="1" x14ac:dyDescent="0.3">
      <c r="A94" s="4" t="s">
        <v>154</v>
      </c>
      <c r="B94" s="5" t="s">
        <v>155</v>
      </c>
      <c r="C94" s="20" t="s">
        <v>156</v>
      </c>
      <c r="D94" s="21" t="s">
        <v>157</v>
      </c>
      <c r="E94" s="6">
        <f>VLOOKUP(C94,FeaturePool!$C$189:$F$202,3,FALSE)</f>
        <v>3</v>
      </c>
      <c r="F94" s="6">
        <f>VLOOKUP(C94,FeaturePool!$C$189:$F$202,4,FALSE)</f>
        <v>0.2</v>
      </c>
      <c r="G94" s="7">
        <v>1</v>
      </c>
      <c r="H94" s="6"/>
    </row>
    <row r="95" spans="1:8" ht="18" customHeight="1" x14ac:dyDescent="0.3">
      <c r="A95" s="8"/>
      <c r="B95" s="9"/>
      <c r="C95" s="18" t="s">
        <v>158</v>
      </c>
      <c r="D95" s="19" t="s">
        <v>159</v>
      </c>
      <c r="E95" s="19">
        <f>VLOOKUP(C95,FeaturePool!$C$189:$F$202,3,FALSE)</f>
        <v>2</v>
      </c>
      <c r="F95" s="19">
        <f>VLOOKUP(C95,FeaturePool!$C$189:$F$202,4,FALSE)</f>
        <v>0.2</v>
      </c>
      <c r="G95" s="10">
        <v>2</v>
      </c>
      <c r="H95" s="8"/>
    </row>
    <row r="96" spans="1:8" ht="18" customHeight="1" x14ac:dyDescent="0.3">
      <c r="A96" s="6"/>
      <c r="B96" s="5"/>
      <c r="C96" s="20" t="s">
        <v>160</v>
      </c>
      <c r="D96" s="21" t="s">
        <v>161</v>
      </c>
      <c r="E96" s="6">
        <f>VLOOKUP(C96,FeaturePool!$C$189:$F$202,3,FALSE)</f>
        <v>2</v>
      </c>
      <c r="F96" s="6">
        <f>VLOOKUP(C96,FeaturePool!$C$189:$F$202,4,FALSE)</f>
        <v>0.33300000000000002</v>
      </c>
      <c r="G96" s="7">
        <v>3</v>
      </c>
      <c r="H96" s="6"/>
    </row>
    <row r="97" spans="1:8" ht="18" customHeight="1" x14ac:dyDescent="0.3">
      <c r="A97" s="8"/>
      <c r="B97" s="9"/>
      <c r="C97" s="18" t="s">
        <v>78</v>
      </c>
      <c r="D97" s="19" t="s">
        <v>79</v>
      </c>
      <c r="E97" s="19">
        <f>VLOOKUP(C97,FeaturePool!$C$189:$F$202,3,FALSE)</f>
        <v>2</v>
      </c>
      <c r="F97" s="19">
        <f>VLOOKUP(C97,FeaturePool!$C$189:$F$202,4,FALSE)</f>
        <v>0.05</v>
      </c>
      <c r="G97" s="10">
        <v>4</v>
      </c>
      <c r="H97" s="8"/>
    </row>
    <row r="98" spans="1:8" ht="18" customHeight="1" x14ac:dyDescent="0.3">
      <c r="A98" s="6"/>
      <c r="B98" s="5"/>
      <c r="C98" s="18" t="s">
        <v>162</v>
      </c>
      <c r="D98" s="19" t="s">
        <v>163</v>
      </c>
      <c r="E98" s="6">
        <f>VLOOKUP(C98,FeaturePool!$C$189:$F$202,3,FALSE)</f>
        <v>4</v>
      </c>
      <c r="F98" s="6">
        <f>VLOOKUP(C98,FeaturePool!$C$189:$F$202,4,FALSE)</f>
        <v>0.33300000000000002</v>
      </c>
      <c r="G98" s="7">
        <v>5</v>
      </c>
      <c r="H98" s="6"/>
    </row>
    <row r="99" spans="1:8" ht="18" customHeight="1" x14ac:dyDescent="0.3">
      <c r="A99" s="8"/>
      <c r="B99" s="9"/>
      <c r="C99" s="20" t="s">
        <v>164</v>
      </c>
      <c r="D99" s="21" t="s">
        <v>165</v>
      </c>
      <c r="E99" s="19">
        <f>VLOOKUP(C99,FeaturePool!$C$189:$F$202,3,FALSE)</f>
        <v>2</v>
      </c>
      <c r="F99" s="19">
        <f>VLOOKUP(C99,FeaturePool!$C$189:$F$202,4,FALSE)</f>
        <v>0.16700000000000001</v>
      </c>
      <c r="G99" s="10">
        <v>6</v>
      </c>
      <c r="H99" s="8"/>
    </row>
    <row r="100" spans="1:8" ht="18" customHeight="1" x14ac:dyDescent="0.3">
      <c r="A100" s="6"/>
      <c r="B100" s="5"/>
      <c r="C100" s="5" t="s">
        <v>166</v>
      </c>
      <c r="D100" s="6" t="s">
        <v>167</v>
      </c>
      <c r="E100" s="6">
        <f>VLOOKUP(C100,FeaturePool!$C$189:$F$202,3,FALSE)</f>
        <v>1</v>
      </c>
      <c r="F100" s="6">
        <f>VLOOKUP(C100,FeaturePool!$C$189:$F$202,4,FALSE)</f>
        <v>0.33300000000000002</v>
      </c>
      <c r="G100" s="7">
        <v>7</v>
      </c>
      <c r="H100" s="6"/>
    </row>
    <row r="101" spans="1:8" ht="18" customHeight="1" x14ac:dyDescent="0.3">
      <c r="A101" s="8"/>
      <c r="B101" s="9"/>
      <c r="C101" s="20" t="s">
        <v>168</v>
      </c>
      <c r="D101" s="21" t="s">
        <v>169</v>
      </c>
      <c r="E101" s="19">
        <f>VLOOKUP(C101,FeaturePool!$C$189:$F$202,3,FALSE)</f>
        <v>4</v>
      </c>
      <c r="F101" s="19">
        <f>VLOOKUP(C101,FeaturePool!$C$189:$F$202,4,FALSE)</f>
        <v>0.25</v>
      </c>
      <c r="G101" s="10">
        <v>8</v>
      </c>
      <c r="H101" s="8"/>
    </row>
    <row r="102" spans="1:8" ht="18" customHeight="1" x14ac:dyDescent="0.3">
      <c r="A102" s="6"/>
      <c r="B102" s="5"/>
      <c r="C102" s="20" t="s">
        <v>170</v>
      </c>
      <c r="D102" s="21" t="s">
        <v>171</v>
      </c>
      <c r="E102" s="6">
        <f>VLOOKUP(C102,FeaturePool!$C$189:$F$202,3,FALSE)</f>
        <v>1</v>
      </c>
      <c r="F102" s="6">
        <f>VLOOKUP(C102,FeaturePool!$C$189:$F$202,4,FALSE)</f>
        <v>0.33300000000000002</v>
      </c>
      <c r="G102" s="7">
        <v>9</v>
      </c>
      <c r="H102" s="6"/>
    </row>
    <row r="103" spans="1:8" ht="18" customHeight="1" x14ac:dyDescent="0.3">
      <c r="A103" s="8"/>
      <c r="B103" s="9"/>
      <c r="C103" s="18" t="s">
        <v>90</v>
      </c>
      <c r="D103" s="19" t="s">
        <v>91</v>
      </c>
      <c r="E103" s="19">
        <f>VLOOKUP(C103,FeaturePool!$C$189:$F$202,3,FALSE)</f>
        <v>1</v>
      </c>
      <c r="F103" s="19">
        <f>VLOOKUP(C103,FeaturePool!$C$189:$F$202,4,FALSE)</f>
        <v>9.0999999999999998E-2</v>
      </c>
      <c r="G103" s="10">
        <v>10</v>
      </c>
      <c r="H103" s="8"/>
    </row>
    <row r="104" spans="1:8" ht="6" customHeight="1" x14ac:dyDescent="0.3">
      <c r="E104" s="19"/>
      <c r="F104" s="19"/>
    </row>
    <row r="105" spans="1:8" ht="18" customHeight="1" x14ac:dyDescent="0.3">
      <c r="A105" s="4" t="s">
        <v>172</v>
      </c>
      <c r="B105" s="5" t="s">
        <v>173</v>
      </c>
      <c r="C105" s="5" t="s">
        <v>15</v>
      </c>
      <c r="D105" s="6" t="s">
        <v>16</v>
      </c>
      <c r="E105" s="18">
        <f>VLOOKUP(C105,FeaturePool!$C$203:$F$221,3,FALSE)</f>
        <v>14</v>
      </c>
      <c r="F105" s="18">
        <f>VLOOKUP(C105,FeaturePool!$C$203:$F$221,4,FALSE)</f>
        <v>0.125</v>
      </c>
      <c r="G105" s="7">
        <v>1</v>
      </c>
      <c r="H105" s="6"/>
    </row>
    <row r="106" spans="1:8" ht="18" customHeight="1" x14ac:dyDescent="0.3">
      <c r="A106" s="8"/>
      <c r="B106" s="9"/>
      <c r="C106" s="9" t="s">
        <v>174</v>
      </c>
      <c r="D106" s="8" t="s">
        <v>175</v>
      </c>
      <c r="E106" s="18">
        <f>VLOOKUP(C106,FeaturePool!$C$203:$F$221,3,FALSE)</f>
        <v>12</v>
      </c>
      <c r="F106" s="18">
        <f>VLOOKUP(C106,FeaturePool!$C$203:$F$221,4,FALSE)</f>
        <v>0.25</v>
      </c>
      <c r="G106" s="10">
        <v>2</v>
      </c>
      <c r="H106" s="8"/>
    </row>
    <row r="107" spans="1:8" ht="18" customHeight="1" x14ac:dyDescent="0.3">
      <c r="A107" s="6"/>
      <c r="B107" s="5"/>
      <c r="C107" s="5" t="s">
        <v>94</v>
      </c>
      <c r="D107" s="6" t="s">
        <v>95</v>
      </c>
      <c r="E107" s="18">
        <f>VLOOKUP(C107,FeaturePool!$C$203:$F$221,3,FALSE)</f>
        <v>4</v>
      </c>
      <c r="F107" s="18">
        <f>VLOOKUP(C107,FeaturePool!$C$203:$F$221,4,FALSE)</f>
        <v>0.1</v>
      </c>
      <c r="G107" s="7">
        <v>3</v>
      </c>
      <c r="H107" s="6"/>
    </row>
    <row r="108" spans="1:8" ht="18" customHeight="1" x14ac:dyDescent="0.3">
      <c r="A108" s="8"/>
      <c r="B108" s="9"/>
      <c r="C108" s="9" t="s">
        <v>176</v>
      </c>
      <c r="D108" s="8" t="s">
        <v>177</v>
      </c>
      <c r="E108" s="18">
        <f>VLOOKUP(C108,FeaturePool!$C$203:$F$221,3,FALSE)</f>
        <v>10</v>
      </c>
      <c r="F108" s="18">
        <f>VLOOKUP(C108,FeaturePool!$C$203:$F$221,4,FALSE)</f>
        <v>0.25</v>
      </c>
      <c r="G108" s="10">
        <v>4</v>
      </c>
      <c r="H108" s="8"/>
    </row>
    <row r="109" spans="1:8" ht="18" customHeight="1" x14ac:dyDescent="0.3">
      <c r="A109" s="6"/>
      <c r="B109" s="5"/>
      <c r="C109" s="20" t="s">
        <v>88</v>
      </c>
      <c r="D109" s="21" t="s">
        <v>89</v>
      </c>
      <c r="E109" s="18">
        <f>VLOOKUP(C109,FeaturePool!$C$203:$F$221,3,FALSE)</f>
        <v>2</v>
      </c>
      <c r="F109" s="18">
        <f>VLOOKUP(C109,FeaturePool!$C$203:$F$221,4,FALSE)</f>
        <v>0.1</v>
      </c>
      <c r="G109" s="7">
        <v>5</v>
      </c>
      <c r="H109" s="6"/>
    </row>
    <row r="110" spans="1:8" ht="18" customHeight="1" x14ac:dyDescent="0.3">
      <c r="A110" s="8"/>
      <c r="B110" s="9"/>
      <c r="C110" s="9" t="s">
        <v>98</v>
      </c>
      <c r="D110" s="8" t="s">
        <v>99</v>
      </c>
      <c r="E110" s="18">
        <f>VLOOKUP(C110,FeaturePool!$C$203:$F$221,3,FALSE)</f>
        <v>3</v>
      </c>
      <c r="F110" s="18">
        <f>VLOOKUP(C110,FeaturePool!$C$203:$F$221,4,FALSE)</f>
        <v>0.33300000000000002</v>
      </c>
      <c r="G110" s="10">
        <v>6</v>
      </c>
      <c r="H110" s="8"/>
    </row>
    <row r="111" spans="1:8" ht="18" customHeight="1" x14ac:dyDescent="0.3">
      <c r="A111" s="6"/>
      <c r="B111" s="5"/>
      <c r="C111" s="18" t="s">
        <v>20</v>
      </c>
      <c r="D111" s="19" t="s">
        <v>21</v>
      </c>
      <c r="E111" s="18">
        <f>VLOOKUP(C111,FeaturePool!$C$203:$F$221,3,FALSE)</f>
        <v>2</v>
      </c>
      <c r="F111" s="18">
        <f>VLOOKUP(C111,FeaturePool!$C$203:$F$221,4,FALSE)</f>
        <v>0.125</v>
      </c>
      <c r="G111" s="7">
        <v>7</v>
      </c>
      <c r="H111" s="6"/>
    </row>
    <row r="112" spans="1:8" ht="18" customHeight="1" x14ac:dyDescent="0.3">
      <c r="A112" s="8"/>
      <c r="B112" s="9"/>
      <c r="C112" s="20" t="s">
        <v>178</v>
      </c>
      <c r="D112" s="21" t="s">
        <v>179</v>
      </c>
      <c r="E112" s="18">
        <f>VLOOKUP(C112,FeaturePool!$C$203:$F$221,3,FALSE)</f>
        <v>2</v>
      </c>
      <c r="F112" s="18">
        <f>VLOOKUP(C112,FeaturePool!$C$203:$F$221,4,FALSE)</f>
        <v>0.25</v>
      </c>
      <c r="G112" s="10">
        <v>8</v>
      </c>
      <c r="H112" s="8"/>
    </row>
    <row r="113" spans="1:8" ht="18" customHeight="1" x14ac:dyDescent="0.3">
      <c r="A113" s="6"/>
      <c r="B113" s="5"/>
      <c r="C113" s="20" t="s">
        <v>180</v>
      </c>
      <c r="D113" s="21" t="s">
        <v>181</v>
      </c>
      <c r="E113" s="18">
        <f>VLOOKUP(C113,FeaturePool!$C$203:$F$221,3,FALSE)</f>
        <v>1</v>
      </c>
      <c r="F113" s="18">
        <f>VLOOKUP(C113,FeaturePool!$C$203:$F$221,4,FALSE)</f>
        <v>0.16700000000000001</v>
      </c>
      <c r="G113" s="7">
        <v>9</v>
      </c>
      <c r="H113" s="6"/>
    </row>
    <row r="114" spans="1:8" ht="18" customHeight="1" x14ac:dyDescent="0.3">
      <c r="A114" s="8"/>
      <c r="B114" s="9"/>
      <c r="C114" s="9" t="s">
        <v>32</v>
      </c>
      <c r="D114" s="8" t="s">
        <v>33</v>
      </c>
      <c r="E114" s="18">
        <f>VLOOKUP(C114,FeaturePool!$C$203:$F$221,3,FALSE)</f>
        <v>2</v>
      </c>
      <c r="F114" s="18">
        <f>VLOOKUP(C114,FeaturePool!$C$203:$F$221,4,FALSE)</f>
        <v>9.0999999999999998E-2</v>
      </c>
      <c r="G114" s="10">
        <v>10</v>
      </c>
      <c r="H114" s="8"/>
    </row>
    <row r="115" spans="1:8" ht="6" customHeight="1" x14ac:dyDescent="0.3">
      <c r="E115" s="19"/>
      <c r="F115" s="19"/>
    </row>
    <row r="116" spans="1:8" ht="18" customHeight="1" x14ac:dyDescent="0.3">
      <c r="A116" s="4" t="s">
        <v>182</v>
      </c>
      <c r="B116" s="5" t="s">
        <v>183</v>
      </c>
      <c r="C116" s="30" t="s">
        <v>180</v>
      </c>
      <c r="D116" s="31" t="s">
        <v>181</v>
      </c>
      <c r="E116" s="6">
        <f>VLOOKUP(C116,FeaturePool!$C$222:$F$255,3,FALSE)</f>
        <v>1</v>
      </c>
      <c r="F116" s="6">
        <f>VLOOKUP(C116,FeaturePool!$C$222:$F$255,4,FALSE)</f>
        <v>0.16700000000000001</v>
      </c>
      <c r="G116" s="7">
        <v>1</v>
      </c>
      <c r="H116" s="6"/>
    </row>
    <row r="117" spans="1:8" ht="18" customHeight="1" x14ac:dyDescent="0.3">
      <c r="A117" s="8"/>
      <c r="B117" s="9"/>
      <c r="C117" s="5" t="s">
        <v>184</v>
      </c>
      <c r="D117" s="6" t="s">
        <v>185</v>
      </c>
      <c r="E117" s="19">
        <f>VLOOKUP(C117,FeaturePool!$C$222:$F$255,3,FALSE)</f>
        <v>9</v>
      </c>
      <c r="F117" s="19">
        <f>VLOOKUP(C117,FeaturePool!$C$222:$F$255,4,FALSE)</f>
        <v>0.33300000000000002</v>
      </c>
      <c r="G117" s="10">
        <v>2</v>
      </c>
      <c r="H117" s="8"/>
    </row>
    <row r="118" spans="1:8" ht="18" customHeight="1" x14ac:dyDescent="0.3">
      <c r="A118" s="6"/>
      <c r="B118" s="5"/>
      <c r="C118" s="9" t="s">
        <v>186</v>
      </c>
      <c r="D118" s="8" t="s">
        <v>187</v>
      </c>
      <c r="E118" s="6">
        <f>VLOOKUP(C118,FeaturePool!$C$222:$F$255,3,FALSE)</f>
        <v>7</v>
      </c>
      <c r="F118" s="6">
        <f>VLOOKUP(C118,FeaturePool!$C$222:$F$255,4,FALSE)</f>
        <v>0.25</v>
      </c>
      <c r="G118" s="7">
        <v>3</v>
      </c>
      <c r="H118" s="6"/>
    </row>
    <row r="119" spans="1:8" ht="18" customHeight="1" x14ac:dyDescent="0.3">
      <c r="A119" s="8"/>
      <c r="B119" s="9"/>
      <c r="C119" s="5" t="s">
        <v>188</v>
      </c>
      <c r="D119" s="6" t="s">
        <v>189</v>
      </c>
      <c r="E119" s="19">
        <f>VLOOKUP(C119,FeaturePool!$C$222:$F$255,3,FALSE)</f>
        <v>7</v>
      </c>
      <c r="F119" s="19">
        <f>VLOOKUP(C119,FeaturePool!$C$222:$F$255,4,FALSE)</f>
        <v>0.14299999999999999</v>
      </c>
      <c r="G119" s="10">
        <v>4</v>
      </c>
      <c r="H119" s="8"/>
    </row>
    <row r="120" spans="1:8" ht="18" customHeight="1" x14ac:dyDescent="0.3">
      <c r="A120" s="6"/>
      <c r="B120" s="5"/>
      <c r="C120" s="18" t="s">
        <v>190</v>
      </c>
      <c r="D120" s="19" t="s">
        <v>191</v>
      </c>
      <c r="E120" s="6">
        <f>VLOOKUP(C120,FeaturePool!$C$222:$F$255,3,FALSE)</f>
        <v>7</v>
      </c>
      <c r="F120" s="6">
        <f>VLOOKUP(C120,FeaturePool!$C$222:$F$255,4,FALSE)</f>
        <v>0.33300000000000002</v>
      </c>
      <c r="G120" s="7">
        <v>5</v>
      </c>
      <c r="H120" s="6"/>
    </row>
    <row r="121" spans="1:8" ht="18" customHeight="1" x14ac:dyDescent="0.3">
      <c r="A121" s="8"/>
      <c r="B121" s="23"/>
      <c r="C121" s="20" t="s">
        <v>88</v>
      </c>
      <c r="D121" s="21" t="s">
        <v>89</v>
      </c>
      <c r="E121" s="19">
        <f>VLOOKUP(C121,FeaturePool!$C$222:$F$255,3,FALSE)</f>
        <v>10</v>
      </c>
      <c r="F121" s="19">
        <f>VLOOKUP(C121,FeaturePool!$C$222:$F$255,4,FALSE)</f>
        <v>0.1</v>
      </c>
      <c r="G121" s="10">
        <v>6</v>
      </c>
      <c r="H121" s="8"/>
    </row>
    <row r="122" spans="1:8" ht="18" customHeight="1" x14ac:dyDescent="0.3">
      <c r="A122" s="6"/>
      <c r="B122" s="5"/>
      <c r="C122" s="18" t="s">
        <v>176</v>
      </c>
      <c r="D122" s="19" t="s">
        <v>177</v>
      </c>
      <c r="E122" s="19">
        <f>VLOOKUP(C122,FeaturePool!$C$222:$F$255,3,FALSE)</f>
        <v>1</v>
      </c>
      <c r="F122" s="19">
        <f>VLOOKUP(C122,FeaturePool!$C$222:$F$255,4,FALSE)</f>
        <v>0.25</v>
      </c>
      <c r="G122" s="7">
        <v>7</v>
      </c>
      <c r="H122" s="6"/>
    </row>
    <row r="123" spans="1:8" ht="18" customHeight="1" x14ac:dyDescent="0.3">
      <c r="A123" s="22"/>
      <c r="B123" s="23"/>
      <c r="C123" s="20" t="s">
        <v>46</v>
      </c>
      <c r="D123" s="21" t="s">
        <v>47</v>
      </c>
      <c r="E123" s="19">
        <f>VLOOKUP(C123,FeaturePool!$C$222:$F$255,3,FALSE)</f>
        <v>7</v>
      </c>
      <c r="F123" s="19">
        <f>VLOOKUP(C123,FeaturePool!$C$222:$F$255,4,FALSE)</f>
        <v>0.14299999999999999</v>
      </c>
      <c r="G123" s="32">
        <v>8</v>
      </c>
      <c r="H123" s="22"/>
    </row>
    <row r="124" spans="1:8" ht="18" customHeight="1" x14ac:dyDescent="0.3">
      <c r="A124" s="6"/>
      <c r="B124" s="5"/>
      <c r="C124" s="5" t="s">
        <v>192</v>
      </c>
      <c r="D124" s="6" t="s">
        <v>193</v>
      </c>
      <c r="E124" s="19">
        <f>VLOOKUP(C124,FeaturePool!$C$222:$F$255,3,FALSE)</f>
        <v>7</v>
      </c>
      <c r="F124" s="19">
        <f>VLOOKUP(C124,FeaturePool!$C$222:$F$255,4,FALSE)</f>
        <v>0.2</v>
      </c>
      <c r="G124" s="7">
        <v>9</v>
      </c>
      <c r="H124" s="6"/>
    </row>
    <row r="125" spans="1:8" ht="18" customHeight="1" x14ac:dyDescent="0.3">
      <c r="A125" s="8"/>
      <c r="B125" s="9"/>
      <c r="C125" s="9" t="s">
        <v>194</v>
      </c>
      <c r="D125" s="8" t="s">
        <v>195</v>
      </c>
      <c r="E125" s="19">
        <f>VLOOKUP(C125,FeaturePool!$C$222:$F$255,3,FALSE)</f>
        <v>2</v>
      </c>
      <c r="F125" s="19">
        <f>VLOOKUP(C125,FeaturePool!$C$222:$F$255,4,FALSE)</f>
        <v>0.33300000000000002</v>
      </c>
      <c r="G125" s="10">
        <v>10</v>
      </c>
      <c r="H125" s="8"/>
    </row>
    <row r="126" spans="1:8" ht="6" customHeight="1" x14ac:dyDescent="0.3">
      <c r="E126" s="19"/>
      <c r="F126" s="19"/>
    </row>
    <row r="127" spans="1:8" ht="18" customHeight="1" x14ac:dyDescent="0.3">
      <c r="A127" s="4" t="s">
        <v>196</v>
      </c>
      <c r="B127" s="5" t="s">
        <v>197</v>
      </c>
      <c r="C127" s="9" t="s">
        <v>68</v>
      </c>
      <c r="D127" s="8" t="s">
        <v>69</v>
      </c>
      <c r="E127" s="6">
        <f>VLOOKUP(C127,FeaturePool!$C$256:$F$271,3,FALSE)</f>
        <v>3</v>
      </c>
      <c r="F127" s="6">
        <f>VLOOKUP(C127,FeaturePool!$C$256:$F$271,4,FALSE)</f>
        <v>0.14299999999999999</v>
      </c>
      <c r="G127" s="7">
        <v>1</v>
      </c>
      <c r="H127" s="6"/>
    </row>
    <row r="128" spans="1:8" ht="18" customHeight="1" x14ac:dyDescent="0.3">
      <c r="A128" s="8"/>
      <c r="B128" s="9"/>
      <c r="C128" s="5" t="s">
        <v>72</v>
      </c>
      <c r="D128" s="6" t="s">
        <v>73</v>
      </c>
      <c r="E128" s="19">
        <f>VLOOKUP(C128,FeaturePool!$C$256:$F$271,3,FALSE)</f>
        <v>4</v>
      </c>
      <c r="F128" s="19">
        <f>VLOOKUP(C128,FeaturePool!$C$256:$F$271,4,FALSE)</f>
        <v>0.33300000000000002</v>
      </c>
      <c r="G128" s="10">
        <v>2</v>
      </c>
      <c r="H128" s="8"/>
    </row>
    <row r="129" spans="1:8" ht="18" customHeight="1" x14ac:dyDescent="0.3">
      <c r="A129" s="6"/>
      <c r="B129" s="5"/>
      <c r="C129" s="9" t="s">
        <v>198</v>
      </c>
      <c r="D129" s="8" t="s">
        <v>199</v>
      </c>
      <c r="E129" s="6">
        <f>VLOOKUP(C129,FeaturePool!$C$256:$F$271,3,FALSE)</f>
        <v>1</v>
      </c>
      <c r="F129" s="6">
        <f>VLOOKUP(C129,FeaturePool!$C$256:$F$271,4,FALSE)</f>
        <v>0.33300000000000002</v>
      </c>
      <c r="G129" s="7">
        <v>3</v>
      </c>
      <c r="H129" s="6"/>
    </row>
    <row r="130" spans="1:8" ht="18" customHeight="1" x14ac:dyDescent="0.3">
      <c r="A130" s="8"/>
      <c r="B130" s="9"/>
      <c r="C130" s="5" t="s">
        <v>200</v>
      </c>
      <c r="D130" s="6" t="s">
        <v>201</v>
      </c>
      <c r="E130" s="19">
        <f>VLOOKUP(C130,FeaturePool!$C$256:$F$271,3,FALSE)</f>
        <v>2</v>
      </c>
      <c r="F130" s="19">
        <f>VLOOKUP(C130,FeaturePool!$C$256:$F$271,4,FALSE)</f>
        <v>0.33300000000000002</v>
      </c>
      <c r="G130" s="10">
        <v>4</v>
      </c>
      <c r="H130" s="8"/>
    </row>
    <row r="131" spans="1:8" ht="18" customHeight="1" x14ac:dyDescent="0.3">
      <c r="A131" s="6"/>
      <c r="B131" s="5"/>
      <c r="C131" s="9" t="s">
        <v>76</v>
      </c>
      <c r="D131" s="8" t="s">
        <v>77</v>
      </c>
      <c r="E131" s="6">
        <f>VLOOKUP(C131,FeaturePool!$C$256:$F$271,3,FALSE)</f>
        <v>5</v>
      </c>
      <c r="F131" s="6">
        <f>VLOOKUP(C131,FeaturePool!$C$256:$F$271,4,FALSE)</f>
        <v>0.25</v>
      </c>
      <c r="G131" s="7">
        <v>5</v>
      </c>
      <c r="H131" s="6"/>
    </row>
    <row r="132" spans="1:8" ht="18" customHeight="1" x14ac:dyDescent="0.3">
      <c r="A132" s="8"/>
      <c r="B132" s="9"/>
      <c r="C132" s="5" t="s">
        <v>78</v>
      </c>
      <c r="D132" s="6" t="s">
        <v>79</v>
      </c>
      <c r="E132" s="19">
        <f>VLOOKUP(C132,FeaturePool!$C$256:$F$271,3,FALSE)</f>
        <v>3</v>
      </c>
      <c r="F132" s="19">
        <f>VLOOKUP(C132,FeaturePool!$C$256:$F$271,4,FALSE)</f>
        <v>0.05</v>
      </c>
      <c r="G132" s="10">
        <v>6</v>
      </c>
      <c r="H132" s="8"/>
    </row>
    <row r="133" spans="1:8" ht="18" customHeight="1" x14ac:dyDescent="0.3">
      <c r="A133" s="6"/>
      <c r="B133" s="5"/>
      <c r="C133" s="9" t="s">
        <v>74</v>
      </c>
      <c r="D133" s="8" t="s">
        <v>75</v>
      </c>
      <c r="E133" s="6">
        <f>VLOOKUP(C133,FeaturePool!$C$256:$F$271,3,FALSE)</f>
        <v>1</v>
      </c>
      <c r="F133" s="6">
        <f>VLOOKUP(C133,FeaturePool!$C$256:$F$271,4,FALSE)</f>
        <v>0.2</v>
      </c>
      <c r="G133" s="7">
        <v>7</v>
      </c>
      <c r="H133" s="6"/>
    </row>
    <row r="134" spans="1:8" ht="18" customHeight="1" x14ac:dyDescent="0.3">
      <c r="A134" s="8"/>
      <c r="B134" s="9"/>
      <c r="C134" s="5" t="s">
        <v>70</v>
      </c>
      <c r="D134" s="6" t="s">
        <v>71</v>
      </c>
      <c r="E134" s="19">
        <f>VLOOKUP(C134,FeaturePool!$C$256:$F$271,3,FALSE)</f>
        <v>13</v>
      </c>
      <c r="F134" s="19">
        <f>VLOOKUP(C134,FeaturePool!$C$256:$F$271,4,FALSE)</f>
        <v>0.2</v>
      </c>
      <c r="G134" s="10">
        <v>8</v>
      </c>
      <c r="H134" s="8"/>
    </row>
    <row r="135" spans="1:8" ht="18" customHeight="1" x14ac:dyDescent="0.3">
      <c r="A135" s="6"/>
      <c r="B135" s="5"/>
      <c r="C135" s="9" t="s">
        <v>82</v>
      </c>
      <c r="D135" s="8" t="s">
        <v>83</v>
      </c>
      <c r="E135" s="6">
        <f>VLOOKUP(C135,FeaturePool!$C$256:$F$271,3,FALSE)</f>
        <v>3</v>
      </c>
      <c r="F135" s="6">
        <f>VLOOKUP(C135,FeaturePool!$C$256:$F$271,4,FALSE)</f>
        <v>0.2</v>
      </c>
      <c r="G135" s="7">
        <v>9</v>
      </c>
      <c r="H135" s="6"/>
    </row>
    <row r="136" spans="1:8" ht="18" customHeight="1" x14ac:dyDescent="0.3">
      <c r="A136" s="8"/>
      <c r="B136" s="9"/>
      <c r="C136" s="5" t="s">
        <v>202</v>
      </c>
      <c r="D136" s="6" t="s">
        <v>203</v>
      </c>
      <c r="E136" s="19">
        <f>VLOOKUP(C136,FeaturePool!$C$256:$F$271,3,FALSE)</f>
        <v>1</v>
      </c>
      <c r="F136" s="19">
        <f>VLOOKUP(C136,FeaturePool!$C$256:$F$271,4,FALSE)</f>
        <v>0.25</v>
      </c>
      <c r="G136" s="10">
        <v>10</v>
      </c>
      <c r="H136" s="8"/>
    </row>
    <row r="137" spans="1:8" ht="6" customHeight="1" x14ac:dyDescent="0.3">
      <c r="E137" s="19"/>
      <c r="F137" s="19"/>
    </row>
    <row r="138" spans="1:8" ht="18" customHeight="1" x14ac:dyDescent="0.3">
      <c r="A138" s="4" t="s">
        <v>204</v>
      </c>
      <c r="B138" s="5" t="s">
        <v>205</v>
      </c>
      <c r="C138" s="9" t="s">
        <v>206</v>
      </c>
      <c r="D138" s="8" t="s">
        <v>207</v>
      </c>
      <c r="E138" s="6">
        <f>VLOOKUP(C138,FeaturePool!$C$272:$F$284,3,FALSE)</f>
        <v>3</v>
      </c>
      <c r="F138" s="6">
        <f>VLOOKUP(C138,FeaturePool!$C$272:$F$284,4,FALSE)</f>
        <v>0.2</v>
      </c>
      <c r="G138" s="7">
        <v>1</v>
      </c>
      <c r="H138" s="6"/>
    </row>
    <row r="139" spans="1:8" ht="18" customHeight="1" x14ac:dyDescent="0.3">
      <c r="A139" s="8"/>
      <c r="B139" s="9"/>
      <c r="C139" s="9" t="s">
        <v>186</v>
      </c>
      <c r="D139" s="8" t="s">
        <v>187</v>
      </c>
      <c r="E139" s="19">
        <f>VLOOKUP(C139,FeaturePool!$C$272:$F$284,3,FALSE)</f>
        <v>1</v>
      </c>
      <c r="F139" s="19">
        <f>VLOOKUP(C139,FeaturePool!$C$272:$F$284,4,FALSE)</f>
        <v>0.25</v>
      </c>
      <c r="G139" s="10">
        <v>2</v>
      </c>
      <c r="H139" s="8"/>
    </row>
    <row r="140" spans="1:8" ht="18" customHeight="1" x14ac:dyDescent="0.3">
      <c r="A140" s="6"/>
      <c r="B140" s="5"/>
      <c r="C140" s="5" t="s">
        <v>188</v>
      </c>
      <c r="D140" s="6" t="s">
        <v>189</v>
      </c>
      <c r="E140" s="6">
        <f>VLOOKUP(C140,FeaturePool!$C$272:$F$284,3,FALSE)</f>
        <v>1</v>
      </c>
      <c r="F140" s="6">
        <f>VLOOKUP(C140,FeaturePool!$C$272:$F$284,4,FALSE)</f>
        <v>0.14299999999999999</v>
      </c>
      <c r="G140" s="7">
        <v>3</v>
      </c>
      <c r="H140" s="6"/>
    </row>
    <row r="141" spans="1:8" ht="18" customHeight="1" x14ac:dyDescent="0.3">
      <c r="A141" s="8"/>
      <c r="B141" s="9"/>
      <c r="C141" s="5" t="s">
        <v>190</v>
      </c>
      <c r="D141" s="6" t="s">
        <v>191</v>
      </c>
      <c r="E141" s="19">
        <f>VLOOKUP(C141,FeaturePool!$C$272:$F$284,3,FALSE)</f>
        <v>1</v>
      </c>
      <c r="F141" s="19">
        <f>VLOOKUP(C141,FeaturePool!$C$272:$F$284,4,FALSE)</f>
        <v>0.33300000000000002</v>
      </c>
      <c r="G141" s="10">
        <v>4</v>
      </c>
      <c r="H141" s="8"/>
    </row>
    <row r="142" spans="1:8" ht="18" customHeight="1" x14ac:dyDescent="0.3">
      <c r="A142" s="6"/>
      <c r="B142" s="5"/>
      <c r="C142" s="5" t="s">
        <v>208</v>
      </c>
      <c r="D142" s="6" t="s">
        <v>209</v>
      </c>
      <c r="E142" s="6">
        <f>VLOOKUP(C142,FeaturePool!$C$272:$F$284,3,FALSE)</f>
        <v>9</v>
      </c>
      <c r="F142" s="6">
        <f>VLOOKUP(C142,FeaturePool!$C$272:$F$284,4,FALSE)</f>
        <v>0.33300000000000002</v>
      </c>
      <c r="G142" s="7">
        <v>5</v>
      </c>
      <c r="H142" s="6"/>
    </row>
    <row r="143" spans="1:8" ht="18" customHeight="1" x14ac:dyDescent="0.3">
      <c r="A143" s="8"/>
      <c r="B143" s="9"/>
      <c r="C143" s="9" t="s">
        <v>102</v>
      </c>
      <c r="D143" s="8" t="s">
        <v>103</v>
      </c>
      <c r="E143" s="19">
        <f>VLOOKUP(C143,FeaturePool!$C$272:$F$284,3,FALSE)</f>
        <v>1</v>
      </c>
      <c r="F143" s="19">
        <f>VLOOKUP(C143,FeaturePool!$C$272:$F$284,4,FALSE)</f>
        <v>0.33300000000000002</v>
      </c>
      <c r="G143" s="10">
        <v>6</v>
      </c>
      <c r="H143" s="8"/>
    </row>
    <row r="144" spans="1:8" ht="18" customHeight="1" x14ac:dyDescent="0.3">
      <c r="A144" s="6"/>
      <c r="B144" s="5"/>
      <c r="C144" s="9" t="s">
        <v>210</v>
      </c>
      <c r="D144" s="8" t="s">
        <v>211</v>
      </c>
      <c r="E144" s="6">
        <f>VLOOKUP(C144,FeaturePool!$C$272:$F$284,3,FALSE)</f>
        <v>1</v>
      </c>
      <c r="F144" s="6">
        <f>VLOOKUP(C144,FeaturePool!$C$272:$F$284,4,FALSE)</f>
        <v>0.25</v>
      </c>
      <c r="G144" s="7">
        <v>7</v>
      </c>
      <c r="H144" s="6"/>
    </row>
    <row r="145" spans="1:8" ht="18" customHeight="1" x14ac:dyDescent="0.3">
      <c r="A145" s="8"/>
      <c r="B145" s="9"/>
      <c r="C145" s="5" t="s">
        <v>212</v>
      </c>
      <c r="D145" s="6" t="s">
        <v>213</v>
      </c>
      <c r="E145" s="19">
        <f>VLOOKUP(C145,FeaturePool!$C$272:$F$284,3,FALSE)</f>
        <v>1</v>
      </c>
      <c r="F145" s="19">
        <f>VLOOKUP(C145,FeaturePool!$C$272:$F$284,4,FALSE)</f>
        <v>0.16700000000000001</v>
      </c>
      <c r="G145" s="10">
        <v>8</v>
      </c>
      <c r="H145" s="8"/>
    </row>
    <row r="146" spans="1:8" ht="18" customHeight="1" x14ac:dyDescent="0.3">
      <c r="A146" s="6"/>
      <c r="B146" s="5"/>
      <c r="C146" s="5" t="s">
        <v>166</v>
      </c>
      <c r="D146" s="6" t="s">
        <v>167</v>
      </c>
      <c r="E146" s="6">
        <f>VLOOKUP(C146,FeaturePool!$C$272:$F$284,3,FALSE)</f>
        <v>3</v>
      </c>
      <c r="F146" s="6">
        <f>VLOOKUP(C146,FeaturePool!$C$272:$F$284,4,FALSE)</f>
        <v>0.33300000000000002</v>
      </c>
      <c r="G146" s="7">
        <v>9</v>
      </c>
      <c r="H146" s="6"/>
    </row>
    <row r="147" spans="1:8" ht="18" customHeight="1" x14ac:dyDescent="0.3">
      <c r="A147" s="8"/>
      <c r="B147" s="9"/>
      <c r="C147" s="9" t="s">
        <v>184</v>
      </c>
      <c r="D147" s="8" t="s">
        <v>185</v>
      </c>
      <c r="E147" s="19">
        <f>VLOOKUP(C147,FeaturePool!$C$272:$F$284,3,FALSE)</f>
        <v>3</v>
      </c>
      <c r="F147" s="19">
        <f>VLOOKUP(C147,FeaturePool!$C$272:$F$284,4,FALSE)</f>
        <v>0.33300000000000002</v>
      </c>
      <c r="G147" s="10">
        <v>10</v>
      </c>
      <c r="H147" s="8"/>
    </row>
    <row r="148" spans="1:8" ht="6" customHeight="1" x14ac:dyDescent="0.3">
      <c r="E148" s="19"/>
      <c r="F148" s="19"/>
    </row>
    <row r="149" spans="1:8" ht="18" customHeight="1" x14ac:dyDescent="0.3">
      <c r="A149" s="4" t="s">
        <v>214</v>
      </c>
      <c r="B149" s="5" t="s">
        <v>215</v>
      </c>
      <c r="C149" s="5" t="s">
        <v>216</v>
      </c>
      <c r="D149" s="6" t="s">
        <v>217</v>
      </c>
      <c r="E149" s="6">
        <f>VLOOKUP(C149,FeaturePool!$C$285:$F$300,3,FALSE)</f>
        <v>2</v>
      </c>
      <c r="F149" s="6">
        <f>VLOOKUP(C149,FeaturePool!$C$285:$F$300,4,FALSE)</f>
        <v>0.33300000000000002</v>
      </c>
      <c r="G149" s="7">
        <v>1</v>
      </c>
      <c r="H149" s="6"/>
    </row>
    <row r="150" spans="1:8" ht="18" customHeight="1" x14ac:dyDescent="0.3">
      <c r="A150" s="8"/>
      <c r="B150" s="9"/>
      <c r="C150" s="18" t="s">
        <v>218</v>
      </c>
      <c r="D150" s="19" t="s">
        <v>219</v>
      </c>
      <c r="E150" s="19">
        <f>VLOOKUP(C150,FeaturePool!$C$285:$F$300,3,FALSE)</f>
        <v>8</v>
      </c>
      <c r="F150" s="19">
        <f>VLOOKUP(C150,FeaturePool!$C$285:$F$300,4,FALSE)</f>
        <v>0.33300000000000002</v>
      </c>
      <c r="G150" s="10">
        <v>2</v>
      </c>
      <c r="H150" s="8"/>
    </row>
    <row r="151" spans="1:8" ht="18" customHeight="1" x14ac:dyDescent="0.3">
      <c r="A151" s="6"/>
      <c r="B151" s="5"/>
      <c r="C151" s="20" t="s">
        <v>78</v>
      </c>
      <c r="D151" s="21" t="s">
        <v>79</v>
      </c>
      <c r="E151" s="6">
        <f>VLOOKUP(C151,FeaturePool!$C$285:$F$300,3,FALSE)</f>
        <v>2</v>
      </c>
      <c r="F151" s="6">
        <f>VLOOKUP(C151,FeaturePool!$C$285:$F$300,4,FALSE)</f>
        <v>0.05</v>
      </c>
      <c r="G151" s="7">
        <v>3</v>
      </c>
      <c r="H151" s="6"/>
    </row>
    <row r="152" spans="1:8" ht="18" customHeight="1" x14ac:dyDescent="0.3">
      <c r="A152" s="8"/>
      <c r="B152" s="9"/>
      <c r="C152" s="18" t="s">
        <v>220</v>
      </c>
      <c r="D152" s="19" t="s">
        <v>221</v>
      </c>
      <c r="E152" s="19">
        <f>VLOOKUP(C152,FeaturePool!$C$285:$F$300,3,FALSE)</f>
        <v>17</v>
      </c>
      <c r="F152" s="19">
        <f>VLOOKUP(C152,FeaturePool!$C$285:$F$300,4,FALSE)</f>
        <v>0.33300000000000002</v>
      </c>
      <c r="G152" s="10">
        <v>4</v>
      </c>
      <c r="H152" s="8"/>
    </row>
    <row r="153" spans="1:8" ht="18" customHeight="1" x14ac:dyDescent="0.3">
      <c r="A153" s="6"/>
      <c r="B153" s="5"/>
      <c r="C153" s="20" t="s">
        <v>162</v>
      </c>
      <c r="D153" s="21" t="s">
        <v>163</v>
      </c>
      <c r="E153" s="6">
        <f>VLOOKUP(C153,FeaturePool!$C$285:$F$300,3,FALSE)</f>
        <v>1</v>
      </c>
      <c r="F153" s="6">
        <f>VLOOKUP(C153,FeaturePool!$C$285:$F$300,4,FALSE)</f>
        <v>0.33300000000000002</v>
      </c>
      <c r="G153" s="7">
        <v>5</v>
      </c>
      <c r="H153" s="6"/>
    </row>
    <row r="154" spans="1:8" ht="18" customHeight="1" x14ac:dyDescent="0.3">
      <c r="A154" s="8"/>
      <c r="B154" s="9"/>
      <c r="C154" s="18" t="s">
        <v>106</v>
      </c>
      <c r="D154" s="19" t="s">
        <v>107</v>
      </c>
      <c r="E154" s="19">
        <f>VLOOKUP(C154,FeaturePool!$C$285:$F$300,3,FALSE)</f>
        <v>1</v>
      </c>
      <c r="F154" s="19">
        <f>VLOOKUP(C154,FeaturePool!$C$285:$F$300,4,FALSE)</f>
        <v>0.2</v>
      </c>
      <c r="G154" s="10">
        <v>6</v>
      </c>
      <c r="H154" s="8"/>
    </row>
    <row r="155" spans="1:8" ht="18" customHeight="1" x14ac:dyDescent="0.3">
      <c r="A155" s="6"/>
      <c r="B155" s="5"/>
      <c r="C155" s="18" t="s">
        <v>109</v>
      </c>
      <c r="D155" s="19" t="s">
        <v>108</v>
      </c>
      <c r="E155" s="6">
        <f>VLOOKUP(C155,FeaturePool!$C$285:$F$300,3,FALSE)</f>
        <v>1</v>
      </c>
      <c r="F155" s="6">
        <f>VLOOKUP(C155,FeaturePool!$C$285:$F$300,4,FALSE)</f>
        <v>0.14299999999999999</v>
      </c>
      <c r="G155" s="7">
        <v>7</v>
      </c>
      <c r="H155" s="6"/>
    </row>
    <row r="156" spans="1:8" ht="18" customHeight="1" x14ac:dyDescent="0.3">
      <c r="A156" s="8"/>
      <c r="B156" s="9"/>
      <c r="C156" s="9" t="s">
        <v>222</v>
      </c>
      <c r="D156" s="8" t="s">
        <v>223</v>
      </c>
      <c r="E156" s="19">
        <f>VLOOKUP(C156,FeaturePool!$C$285:$F$300,3,FALSE)</f>
        <v>2</v>
      </c>
      <c r="F156" s="19">
        <f>VLOOKUP(C156,FeaturePool!$C$285:$F$300,4,FALSE)</f>
        <v>0.16700000000000001</v>
      </c>
      <c r="G156" s="10">
        <v>8</v>
      </c>
      <c r="H156" s="8"/>
    </row>
    <row r="157" spans="1:8" ht="18" customHeight="1" x14ac:dyDescent="0.3">
      <c r="A157" s="6"/>
      <c r="B157" s="5"/>
      <c r="C157" s="20" t="s">
        <v>224</v>
      </c>
      <c r="D157" s="21" t="s">
        <v>225</v>
      </c>
      <c r="E157" s="6">
        <f>VLOOKUP(C157,FeaturePool!$C$285:$F$300,3,FALSE)</f>
        <v>1</v>
      </c>
      <c r="F157" s="6">
        <f>VLOOKUP(C157,FeaturePool!$C$285:$F$300,4,FALSE)</f>
        <v>0.111</v>
      </c>
      <c r="G157" s="7">
        <v>9</v>
      </c>
      <c r="H157" s="6"/>
    </row>
    <row r="158" spans="1:8" ht="18" customHeight="1" x14ac:dyDescent="0.3">
      <c r="A158" s="8"/>
      <c r="B158" s="9"/>
      <c r="C158" s="9" t="s">
        <v>226</v>
      </c>
      <c r="D158" s="8" t="s">
        <v>227</v>
      </c>
      <c r="E158" s="19">
        <f>VLOOKUP(C158,FeaturePool!$C$285:$F$300,3,FALSE)</f>
        <v>9</v>
      </c>
      <c r="F158" s="19">
        <f>VLOOKUP(C158,FeaturePool!$C$285:$F$300,4,FALSE)</f>
        <v>0.33300000000000002</v>
      </c>
      <c r="G158" s="10">
        <v>10</v>
      </c>
      <c r="H158" s="8"/>
    </row>
    <row r="159" spans="1:8" ht="6" customHeight="1" x14ac:dyDescent="0.3">
      <c r="E159" s="19"/>
      <c r="F159" s="19"/>
    </row>
    <row r="160" spans="1:8" ht="18" customHeight="1" x14ac:dyDescent="0.3">
      <c r="A160" s="4" t="s">
        <v>228</v>
      </c>
      <c r="B160" s="5" t="s">
        <v>229</v>
      </c>
      <c r="C160" s="20" t="s">
        <v>180</v>
      </c>
      <c r="D160" s="21" t="s">
        <v>181</v>
      </c>
      <c r="E160" s="6">
        <f>VLOOKUP(C160,FeaturePool!$C$301:$F$320,3,FALSE)</f>
        <v>3</v>
      </c>
      <c r="F160" s="6">
        <f>VLOOKUP(C160,FeaturePool!$C$301:$F$320,4,FALSE)</f>
        <v>0.16700000000000001</v>
      </c>
      <c r="G160" s="7">
        <v>1</v>
      </c>
      <c r="H160" s="6"/>
    </row>
    <row r="161" spans="1:8" ht="18" customHeight="1" x14ac:dyDescent="0.3">
      <c r="A161" s="8"/>
      <c r="B161" s="9"/>
      <c r="C161" s="9" t="s">
        <v>230</v>
      </c>
      <c r="D161" s="8" t="s">
        <v>231</v>
      </c>
      <c r="E161" s="19">
        <f>VLOOKUP(C161,FeaturePool!$C$301:$F$320,3,FALSE)</f>
        <v>1</v>
      </c>
      <c r="F161" s="19">
        <f>VLOOKUP(C161,FeaturePool!$C$301:$F$320,4,FALSE)</f>
        <v>0.33300000000000002</v>
      </c>
      <c r="G161" s="10">
        <v>2</v>
      </c>
      <c r="H161" s="8"/>
    </row>
    <row r="162" spans="1:8" ht="18" customHeight="1" x14ac:dyDescent="0.3">
      <c r="A162" s="6"/>
      <c r="B162" s="5"/>
      <c r="C162" s="5" t="s">
        <v>188</v>
      </c>
      <c r="D162" s="6" t="s">
        <v>189</v>
      </c>
      <c r="E162" s="6">
        <f>VLOOKUP(C162,FeaturePool!$C$301:$F$320,3,FALSE)</f>
        <v>8</v>
      </c>
      <c r="F162" s="6">
        <f>VLOOKUP(C162,FeaturePool!$C$301:$F$320,4,FALSE)</f>
        <v>0.14299999999999999</v>
      </c>
      <c r="G162" s="7">
        <v>3</v>
      </c>
      <c r="H162" s="6"/>
    </row>
    <row r="163" spans="1:8" ht="18" customHeight="1" x14ac:dyDescent="0.3">
      <c r="A163" s="8"/>
      <c r="B163" s="9"/>
      <c r="C163" s="9" t="s">
        <v>136</v>
      </c>
      <c r="D163" s="8" t="s">
        <v>137</v>
      </c>
      <c r="E163" s="19">
        <f>VLOOKUP(C163,FeaturePool!$C$301:$F$320,3,FALSE)</f>
        <v>7</v>
      </c>
      <c r="F163" s="19">
        <f>VLOOKUP(C163,FeaturePool!$C$301:$F$320,4,FALSE)</f>
        <v>0.16700000000000001</v>
      </c>
      <c r="G163" s="10">
        <v>4</v>
      </c>
      <c r="H163" s="8"/>
    </row>
    <row r="164" spans="1:8" ht="18" customHeight="1" x14ac:dyDescent="0.3">
      <c r="A164" s="6"/>
      <c r="B164" s="5"/>
      <c r="C164" s="20" t="s">
        <v>158</v>
      </c>
      <c r="D164" s="21" t="s">
        <v>159</v>
      </c>
      <c r="E164" s="6">
        <f>VLOOKUP(C164,FeaturePool!$C$301:$F$320,3,FALSE)</f>
        <v>8</v>
      </c>
      <c r="F164" s="6">
        <f>VLOOKUP(C164,FeaturePool!$C$301:$F$320,4,FALSE)</f>
        <v>0.2</v>
      </c>
      <c r="G164" s="7">
        <v>5</v>
      </c>
      <c r="H164" s="6"/>
    </row>
    <row r="165" spans="1:8" ht="18" customHeight="1" x14ac:dyDescent="0.3">
      <c r="A165" s="8"/>
      <c r="B165" s="9"/>
      <c r="C165" s="18" t="s">
        <v>148</v>
      </c>
      <c r="D165" s="19" t="s">
        <v>149</v>
      </c>
      <c r="E165" s="19">
        <f>VLOOKUP(C165,FeaturePool!$C$301:$F$320,3,FALSE)</f>
        <v>5</v>
      </c>
      <c r="F165" s="19">
        <f>VLOOKUP(C165,FeaturePool!$C$301:$F$320,4,FALSE)</f>
        <v>9.0999999999999998E-2</v>
      </c>
      <c r="G165" s="10">
        <v>6</v>
      </c>
      <c r="H165" s="8"/>
    </row>
    <row r="166" spans="1:8" ht="18" customHeight="1" x14ac:dyDescent="0.3">
      <c r="A166" s="6"/>
      <c r="B166" s="5"/>
      <c r="C166" s="20" t="s">
        <v>232</v>
      </c>
      <c r="D166" s="21" t="s">
        <v>233</v>
      </c>
      <c r="E166" s="6">
        <f>VLOOKUP(C166,FeaturePool!$C$301:$F$320,3,FALSE)</f>
        <v>2</v>
      </c>
      <c r="F166" s="6">
        <f>VLOOKUP(C166,FeaturePool!$C$301:$F$320,4,FALSE)</f>
        <v>0.25</v>
      </c>
      <c r="G166" s="7">
        <v>7</v>
      </c>
      <c r="H166" s="6"/>
    </row>
    <row r="167" spans="1:8" ht="18" customHeight="1" x14ac:dyDescent="0.3">
      <c r="A167" s="8"/>
      <c r="B167" s="9"/>
      <c r="C167" s="18" t="s">
        <v>90</v>
      </c>
      <c r="D167" s="19" t="s">
        <v>91</v>
      </c>
      <c r="E167" s="19">
        <f>VLOOKUP(C167,FeaturePool!$C$301:$F$320,3,FALSE)</f>
        <v>6</v>
      </c>
      <c r="F167" s="19">
        <f>VLOOKUP(C167,FeaturePool!$C$301:$F$320,4,FALSE)</f>
        <v>9.0999999999999998E-2</v>
      </c>
      <c r="G167" s="10">
        <v>8</v>
      </c>
      <c r="H167" s="8"/>
    </row>
    <row r="168" spans="1:8" ht="18" customHeight="1" x14ac:dyDescent="0.3">
      <c r="A168" s="6"/>
      <c r="B168" s="5"/>
      <c r="C168" s="20" t="s">
        <v>23</v>
      </c>
      <c r="D168" s="21" t="s">
        <v>24</v>
      </c>
      <c r="E168" s="6">
        <f>VLOOKUP(C168,FeaturePool!$C$301:$F$320,3,FALSE)</f>
        <v>1</v>
      </c>
      <c r="F168" s="6">
        <f>VLOOKUP(C168,FeaturePool!$C$301:$F$320,4,FALSE)</f>
        <v>0.111</v>
      </c>
      <c r="G168" s="7">
        <v>9</v>
      </c>
      <c r="H168" s="6"/>
    </row>
    <row r="169" spans="1:8" ht="18" customHeight="1" x14ac:dyDescent="0.3">
      <c r="A169" s="8"/>
      <c r="B169" s="9"/>
      <c r="C169" s="18" t="s">
        <v>234</v>
      </c>
      <c r="D169" s="19" t="s">
        <v>235</v>
      </c>
      <c r="E169" s="19">
        <f>VLOOKUP(C169,FeaturePool!$C$301:$F$320,3,FALSE)</f>
        <v>1</v>
      </c>
      <c r="F169" s="19">
        <f>VLOOKUP(C169,FeaturePool!$C$301:$F$320,4,FALSE)</f>
        <v>0.2</v>
      </c>
      <c r="G169" s="10">
        <v>10</v>
      </c>
      <c r="H169" s="8"/>
    </row>
    <row r="170" spans="1:8" ht="6" customHeight="1" x14ac:dyDescent="0.3">
      <c r="E170" s="19"/>
      <c r="F170" s="19"/>
    </row>
    <row r="171" spans="1:8" ht="18" customHeight="1" x14ac:dyDescent="0.3">
      <c r="A171" s="34" t="s">
        <v>236</v>
      </c>
      <c r="B171" s="35" t="s">
        <v>237</v>
      </c>
      <c r="C171" s="36" t="s">
        <v>238</v>
      </c>
      <c r="D171" s="37" t="s">
        <v>239</v>
      </c>
      <c r="E171" s="34">
        <f>VLOOKUP(C171,FeaturePool!$C$321:$F$329,3,FALSE)</f>
        <v>3</v>
      </c>
      <c r="F171" s="34">
        <f>VLOOKUP(C171,FeaturePool!$C$321:$F$329,4,FALSE)</f>
        <v>0.16700000000000001</v>
      </c>
      <c r="G171" s="35">
        <v>1</v>
      </c>
      <c r="H171" s="34"/>
    </row>
    <row r="172" spans="1:8" ht="18" customHeight="1" x14ac:dyDescent="0.3">
      <c r="A172" s="34"/>
      <c r="B172" s="35"/>
      <c r="C172" s="36" t="s">
        <v>70</v>
      </c>
      <c r="D172" s="37" t="s">
        <v>71</v>
      </c>
      <c r="E172" s="37">
        <f>VLOOKUP(C172,FeaturePool!$C$321:$F$329,3,FALSE)</f>
        <v>11</v>
      </c>
      <c r="F172" s="37">
        <f>VLOOKUP(C172,FeaturePool!$C$321:$F$329,4,FALSE)</f>
        <v>0.2</v>
      </c>
      <c r="G172" s="35">
        <v>2</v>
      </c>
      <c r="H172" s="34"/>
    </row>
    <row r="173" spans="1:8" ht="18" customHeight="1" x14ac:dyDescent="0.3">
      <c r="A173" s="34"/>
      <c r="B173" s="35"/>
      <c r="C173" s="35" t="s">
        <v>240</v>
      </c>
      <c r="D173" s="34" t="s">
        <v>241</v>
      </c>
      <c r="E173" s="34">
        <f>VLOOKUP(C173,FeaturePool!$C$321:$F$329,3,FALSE)</f>
        <v>4</v>
      </c>
      <c r="F173" s="34">
        <f>VLOOKUP(C173,FeaturePool!$C$321:$F$329,4,FALSE)</f>
        <v>9.0999999999999998E-2</v>
      </c>
      <c r="G173" s="35">
        <v>3</v>
      </c>
      <c r="H173" s="34"/>
    </row>
    <row r="174" spans="1:8" ht="18" customHeight="1" x14ac:dyDescent="0.3">
      <c r="A174" s="34"/>
      <c r="B174" s="35"/>
      <c r="C174" s="36" t="s">
        <v>112</v>
      </c>
      <c r="D174" s="37" t="s">
        <v>113</v>
      </c>
      <c r="E174" s="37">
        <f>VLOOKUP(C174,FeaturePool!$C$321:$F$329,3,FALSE)</f>
        <v>1</v>
      </c>
      <c r="F174" s="37">
        <f>VLOOKUP(C174,FeaturePool!$C$321:$F$329,4,FALSE)</f>
        <v>0.1</v>
      </c>
      <c r="G174" s="35">
        <v>4</v>
      </c>
      <c r="H174" s="34"/>
    </row>
    <row r="175" spans="1:8" ht="18" customHeight="1" x14ac:dyDescent="0.3">
      <c r="A175" s="34"/>
      <c r="B175" s="35"/>
      <c r="C175" s="36" t="s">
        <v>242</v>
      </c>
      <c r="D175" s="37" t="s">
        <v>243</v>
      </c>
      <c r="E175" s="34">
        <f>VLOOKUP(C175,FeaturePool!$C$321:$F$329,3,FALSE)</f>
        <v>1</v>
      </c>
      <c r="F175" s="34">
        <f>VLOOKUP(C175,FeaturePool!$C$321:$F$329,4,FALSE)</f>
        <v>0.25</v>
      </c>
      <c r="G175" s="35">
        <v>5</v>
      </c>
      <c r="H175" s="34"/>
    </row>
    <row r="176" spans="1:8" ht="18" customHeight="1" x14ac:dyDescent="0.3">
      <c r="A176" s="34"/>
      <c r="B176" s="35"/>
      <c r="C176" s="36" t="s">
        <v>41</v>
      </c>
      <c r="D176" s="37" t="s">
        <v>42</v>
      </c>
      <c r="E176" s="37">
        <f>VLOOKUP(C176,FeaturePool!$C$321:$F$329,3,FALSE)</f>
        <v>1</v>
      </c>
      <c r="F176" s="37">
        <f>VLOOKUP(C176,FeaturePool!$C$321:$F$329,4,FALSE)</f>
        <v>0.16700000000000001</v>
      </c>
      <c r="G176" s="35">
        <v>6</v>
      </c>
      <c r="H176" s="34"/>
    </row>
    <row r="177" spans="1:8" ht="18" customHeight="1" x14ac:dyDescent="0.3">
      <c r="A177" s="34"/>
      <c r="B177" s="35"/>
      <c r="C177" s="36" t="s">
        <v>78</v>
      </c>
      <c r="D177" s="37" t="s">
        <v>79</v>
      </c>
      <c r="E177" s="34">
        <f>VLOOKUP(C177,FeaturePool!$C$321:$F$329,3,FALSE)</f>
        <v>1</v>
      </c>
      <c r="F177" s="34">
        <f>VLOOKUP(C177,FeaturePool!$C$321:$F$329,4,FALSE)</f>
        <v>0.05</v>
      </c>
      <c r="G177" s="35">
        <v>7</v>
      </c>
      <c r="H177" s="34"/>
    </row>
    <row r="178" spans="1:8" ht="18" customHeight="1" x14ac:dyDescent="0.3">
      <c r="A178" s="34"/>
      <c r="B178" s="35"/>
      <c r="C178" s="36" t="s">
        <v>50</v>
      </c>
      <c r="D178" s="37" t="s">
        <v>51</v>
      </c>
      <c r="E178" s="37">
        <f>VLOOKUP(C178,FeaturePool!$C$321:$F$329,3,FALSE)</f>
        <v>1</v>
      </c>
      <c r="F178" s="37">
        <f>VLOOKUP(C178,FeaturePool!$C$321:$F$329,4,FALSE)</f>
        <v>0.125</v>
      </c>
      <c r="G178" s="35">
        <v>8</v>
      </c>
      <c r="H178" s="34"/>
    </row>
    <row r="179" spans="1:8" ht="18" customHeight="1" x14ac:dyDescent="0.3">
      <c r="A179" s="34"/>
      <c r="B179" s="35"/>
      <c r="C179" s="36" t="s">
        <v>110</v>
      </c>
      <c r="D179" s="37" t="s">
        <v>111</v>
      </c>
      <c r="E179" s="34">
        <f>VLOOKUP(C179,FeaturePool!$C$321:$F$329,3,FALSE)</f>
        <v>4</v>
      </c>
      <c r="F179" s="34">
        <f>VLOOKUP(C179,FeaturePool!$C$321:$F$329,4,FALSE)</f>
        <v>0.33300000000000002</v>
      </c>
      <c r="G179" s="35">
        <v>9</v>
      </c>
      <c r="H179" s="34"/>
    </row>
    <row r="180" spans="1:8" ht="18" customHeight="1" x14ac:dyDescent="0.3">
      <c r="A180" s="34"/>
      <c r="B180" s="35"/>
      <c r="C180" s="35"/>
      <c r="D180" s="34"/>
      <c r="E180" s="37" t="e">
        <f>VLOOKUP(C180,FeaturePool!$C$321:$F$329,3,FALSE)</f>
        <v>#N/A</v>
      </c>
      <c r="F180" s="37" t="e">
        <f>VLOOKUP(C180,FeaturePool!$C$321:$F$329,4,FALSE)</f>
        <v>#N/A</v>
      </c>
      <c r="G180" s="35">
        <v>10</v>
      </c>
      <c r="H180" s="34"/>
    </row>
    <row r="181" spans="1:8" ht="6" customHeight="1" x14ac:dyDescent="0.3">
      <c r="E181" s="19"/>
      <c r="F181" s="19"/>
    </row>
    <row r="182" spans="1:8" ht="18" customHeight="1" x14ac:dyDescent="0.3">
      <c r="A182" s="4" t="s">
        <v>244</v>
      </c>
      <c r="B182" s="5" t="s">
        <v>245</v>
      </c>
      <c r="C182" s="5" t="s">
        <v>15</v>
      </c>
      <c r="D182" s="6" t="s">
        <v>16</v>
      </c>
      <c r="E182" s="6">
        <f>VLOOKUP(C182,FeaturePool!$C$330:$F$354,3,FALSE)</f>
        <v>15</v>
      </c>
      <c r="F182" s="6">
        <f>VLOOKUP(C182,FeaturePool!$C:$F,4,FALSE)</f>
        <v>0.125</v>
      </c>
      <c r="G182" s="7">
        <v>1</v>
      </c>
      <c r="H182" s="6"/>
    </row>
    <row r="183" spans="1:8" ht="18" customHeight="1" x14ac:dyDescent="0.3">
      <c r="A183" s="8"/>
      <c r="B183" s="9"/>
      <c r="C183" s="9" t="s">
        <v>90</v>
      </c>
      <c r="D183" s="8" t="s">
        <v>91</v>
      </c>
      <c r="E183" s="19">
        <f>VLOOKUP(C183,FeaturePool!$C$330:$F$354,3,FALSE)</f>
        <v>10</v>
      </c>
      <c r="F183" s="19">
        <f>VLOOKUP(C183,FeaturePool!$C:$F,4,FALSE)</f>
        <v>9.0999999999999998E-2</v>
      </c>
      <c r="G183" s="10">
        <v>2</v>
      </c>
      <c r="H183" s="8"/>
    </row>
    <row r="184" spans="1:8" ht="18" customHeight="1" x14ac:dyDescent="0.3">
      <c r="A184" s="6"/>
      <c r="B184" s="5"/>
      <c r="C184" s="20" t="s">
        <v>86</v>
      </c>
      <c r="D184" s="21" t="s">
        <v>87</v>
      </c>
      <c r="E184" s="6">
        <f>VLOOKUP(C184,FeaturePool!$C$330:$F$354,3,FALSE)</f>
        <v>8</v>
      </c>
      <c r="F184" s="6">
        <f>VLOOKUP(C184,FeaturePool!$C:$F,4,FALSE)</f>
        <v>0.25</v>
      </c>
      <c r="G184" s="7">
        <v>3</v>
      </c>
      <c r="H184" s="6"/>
    </row>
    <row r="185" spans="1:8" ht="18" customHeight="1" x14ac:dyDescent="0.3">
      <c r="A185" s="8"/>
      <c r="B185" s="9"/>
      <c r="C185" s="18" t="s">
        <v>98</v>
      </c>
      <c r="D185" s="19" t="s">
        <v>99</v>
      </c>
      <c r="E185" s="19">
        <f>VLOOKUP(C185,FeaturePool!$C$330:$F$354,3,FALSE)</f>
        <v>3</v>
      </c>
      <c r="F185" s="19">
        <f>VLOOKUP(C185,FeaturePool!$C:$F,4,FALSE)</f>
        <v>0.33300000000000002</v>
      </c>
      <c r="G185" s="10">
        <v>4</v>
      </c>
      <c r="H185" s="8"/>
    </row>
    <row r="186" spans="1:8" ht="18" customHeight="1" x14ac:dyDescent="0.3">
      <c r="A186" s="6"/>
      <c r="B186" s="5"/>
      <c r="C186" s="5" t="s">
        <v>94</v>
      </c>
      <c r="D186" s="6" t="s">
        <v>95</v>
      </c>
      <c r="E186" s="6">
        <f>VLOOKUP(C186,FeaturePool!$C$330:$F$354,3,FALSE)</f>
        <v>3</v>
      </c>
      <c r="F186" s="6">
        <f>VLOOKUP(C186,FeaturePool!$C:$F,4,FALSE)</f>
        <v>0.1</v>
      </c>
      <c r="G186" s="7">
        <v>5</v>
      </c>
      <c r="H186" s="6"/>
    </row>
    <row r="187" spans="1:8" ht="18" customHeight="1" x14ac:dyDescent="0.3">
      <c r="A187" s="8"/>
      <c r="B187" s="9"/>
      <c r="C187" s="20" t="s">
        <v>28</v>
      </c>
      <c r="D187" s="21" t="s">
        <v>29</v>
      </c>
      <c r="E187" s="19">
        <f>VLOOKUP(C187,FeaturePool!$C$330:$F$354,3,FALSE)</f>
        <v>2</v>
      </c>
      <c r="F187" s="19">
        <f>VLOOKUP(C187,FeaturePool!$C:$F,4,FALSE)</f>
        <v>0.2</v>
      </c>
      <c r="G187" s="10">
        <v>6</v>
      </c>
      <c r="H187" s="8"/>
    </row>
    <row r="188" spans="1:8" ht="18" customHeight="1" x14ac:dyDescent="0.3">
      <c r="A188" s="6"/>
      <c r="B188" s="5"/>
      <c r="C188" s="5" t="s">
        <v>37</v>
      </c>
      <c r="D188" s="6" t="s">
        <v>38</v>
      </c>
      <c r="E188" s="6">
        <f>VLOOKUP(C188,FeaturePool!$C$330:$F$354,3,FALSE)</f>
        <v>6</v>
      </c>
      <c r="F188" s="6">
        <f>VLOOKUP(C188,FeaturePool!$C:$F,4,FALSE)</f>
        <v>0.2</v>
      </c>
      <c r="G188" s="7">
        <v>7</v>
      </c>
      <c r="H188" s="6"/>
    </row>
    <row r="189" spans="1:8" ht="18" customHeight="1" x14ac:dyDescent="0.3">
      <c r="A189" s="8"/>
      <c r="B189" s="9"/>
      <c r="C189" s="18" t="s">
        <v>18</v>
      </c>
      <c r="D189" s="19" t="s">
        <v>19</v>
      </c>
      <c r="E189" s="19">
        <f>VLOOKUP(C189,FeaturePool!$C$330:$F$354,3,FALSE)</f>
        <v>4</v>
      </c>
      <c r="F189" s="19">
        <f>VLOOKUP(C189,FeaturePool!$C:$F,4,FALSE)</f>
        <v>0.111</v>
      </c>
      <c r="G189" s="10">
        <v>8</v>
      </c>
      <c r="H189" s="8"/>
    </row>
    <row r="190" spans="1:8" ht="18" customHeight="1" x14ac:dyDescent="0.3">
      <c r="A190" s="6"/>
      <c r="B190" s="5"/>
      <c r="C190" s="18" t="s">
        <v>30</v>
      </c>
      <c r="D190" s="19" t="s">
        <v>31</v>
      </c>
      <c r="E190" s="6">
        <f>VLOOKUP(C190,FeaturePool!$C$330:$F$354,3,FALSE)</f>
        <v>1</v>
      </c>
      <c r="F190" s="6">
        <f>VLOOKUP(C190,FeaturePool!$C:$F,4,FALSE)</f>
        <v>0.2</v>
      </c>
      <c r="G190" s="7">
        <v>9</v>
      </c>
      <c r="H190" s="6"/>
    </row>
    <row r="191" spans="1:8" ht="18" customHeight="1" x14ac:dyDescent="0.3">
      <c r="A191" s="8"/>
      <c r="B191" s="9"/>
      <c r="C191" s="9" t="s">
        <v>144</v>
      </c>
      <c r="D191" s="8" t="s">
        <v>145</v>
      </c>
      <c r="E191" s="19">
        <f>VLOOKUP(C191,FeaturePool!$C$330:$F$354,3,FALSE)</f>
        <v>2</v>
      </c>
      <c r="F191" s="19">
        <f>VLOOKUP(C191,FeaturePool!$C:$F,4,FALSE)</f>
        <v>0.2</v>
      </c>
      <c r="G191" s="10">
        <v>10</v>
      </c>
      <c r="H191" s="8"/>
    </row>
    <row r="192" spans="1:8" ht="6" customHeight="1" x14ac:dyDescent="0.3">
      <c r="E192" s="19"/>
      <c r="F192" s="19"/>
    </row>
    <row r="193" spans="1:8" ht="18" customHeight="1" x14ac:dyDescent="0.3">
      <c r="A193" s="4" t="s">
        <v>246</v>
      </c>
      <c r="B193" s="5" t="s">
        <v>247</v>
      </c>
      <c r="C193" s="9" t="s">
        <v>180</v>
      </c>
      <c r="D193" s="8" t="s">
        <v>181</v>
      </c>
      <c r="E193" s="6">
        <f>VLOOKUP(C193,FeaturePool!$C$355:$F$386,3,FALSE)</f>
        <v>5</v>
      </c>
      <c r="F193" s="6">
        <f>VLOOKUP(C193,FeaturePool!$C:$F,4,FALSE)</f>
        <v>0.16700000000000001</v>
      </c>
      <c r="G193" s="7">
        <v>1</v>
      </c>
      <c r="H193" s="6"/>
    </row>
    <row r="194" spans="1:8" ht="18" customHeight="1" x14ac:dyDescent="0.3">
      <c r="A194" s="8"/>
      <c r="B194" s="9"/>
      <c r="C194" s="9" t="s">
        <v>43</v>
      </c>
      <c r="D194" s="8" t="s">
        <v>44</v>
      </c>
      <c r="E194" s="19">
        <f>VLOOKUP(C194,FeaturePool!$C$355:$F$386,3,FALSE)</f>
        <v>10</v>
      </c>
      <c r="F194" s="19">
        <f>VLOOKUP(C194,FeaturePool!$C:$F,4,FALSE)</f>
        <v>0.33300000000000002</v>
      </c>
      <c r="G194" s="10">
        <v>2</v>
      </c>
      <c r="H194" s="8"/>
    </row>
    <row r="195" spans="1:8" ht="18" customHeight="1" x14ac:dyDescent="0.3">
      <c r="A195" s="6"/>
      <c r="B195" s="5"/>
      <c r="C195" s="5" t="s">
        <v>90</v>
      </c>
      <c r="D195" s="6" t="s">
        <v>91</v>
      </c>
      <c r="E195" s="6">
        <f>VLOOKUP(C195,FeaturePool!$C$355:$F$386,3,FALSE)</f>
        <v>6</v>
      </c>
      <c r="F195" s="6">
        <f>VLOOKUP(C195,FeaturePool!$C:$F,4,FALSE)</f>
        <v>9.0999999999999998E-2</v>
      </c>
      <c r="G195" s="7">
        <v>3</v>
      </c>
      <c r="H195" s="6"/>
    </row>
    <row r="196" spans="1:8" ht="18" customHeight="1" x14ac:dyDescent="0.3">
      <c r="A196" s="8"/>
      <c r="B196" s="9"/>
      <c r="C196" s="5" t="s">
        <v>248</v>
      </c>
      <c r="D196" s="6" t="s">
        <v>249</v>
      </c>
      <c r="E196" s="19">
        <f>VLOOKUP(C196,FeaturePool!$C$355:$F$386,3,FALSE)</f>
        <v>8</v>
      </c>
      <c r="F196" s="19">
        <f>VLOOKUP(C196,FeaturePool!$C:$F,4,FALSE)</f>
        <v>0.33300000000000002</v>
      </c>
      <c r="G196" s="10">
        <v>4</v>
      </c>
      <c r="H196" s="8"/>
    </row>
    <row r="197" spans="1:8" ht="18" customHeight="1" x14ac:dyDescent="0.3">
      <c r="A197" s="6"/>
      <c r="B197" s="5"/>
      <c r="C197" s="9" t="s">
        <v>250</v>
      </c>
      <c r="D197" s="8" t="s">
        <v>251</v>
      </c>
      <c r="E197" s="6">
        <f>VLOOKUP(C197,FeaturePool!$C$355:$F$386,3,FALSE)</f>
        <v>7</v>
      </c>
      <c r="F197" s="6">
        <f>VLOOKUP(C197,FeaturePool!$C:$F,4,FALSE)</f>
        <v>0.25</v>
      </c>
      <c r="G197" s="7">
        <v>5</v>
      </c>
      <c r="H197" s="6"/>
    </row>
    <row r="198" spans="1:8" ht="18" customHeight="1" x14ac:dyDescent="0.3">
      <c r="A198" s="8"/>
      <c r="B198" s="9"/>
      <c r="C198" s="9" t="s">
        <v>230</v>
      </c>
      <c r="D198" s="8" t="s">
        <v>231</v>
      </c>
      <c r="E198" s="19">
        <f>VLOOKUP(C198,FeaturePool!$C$355:$F$386,3,FALSE)</f>
        <v>6</v>
      </c>
      <c r="F198" s="19">
        <f>VLOOKUP(C198,FeaturePool!$C:$F,4,FALSE)</f>
        <v>0.33300000000000002</v>
      </c>
      <c r="G198" s="10">
        <v>6</v>
      </c>
      <c r="H198" s="8"/>
    </row>
    <row r="199" spans="1:8" ht="18" customHeight="1" x14ac:dyDescent="0.3">
      <c r="A199" s="6"/>
      <c r="B199" s="5"/>
      <c r="C199" s="5" t="s">
        <v>252</v>
      </c>
      <c r="D199" s="6" t="s">
        <v>253</v>
      </c>
      <c r="E199" s="6">
        <f>VLOOKUP(C199,FeaturePool!$C$355:$F$386,3,FALSE)</f>
        <v>1</v>
      </c>
      <c r="F199" s="6">
        <f>VLOOKUP(C199,FeaturePool!$C:$F,4,FALSE)</f>
        <v>0.25</v>
      </c>
      <c r="G199" s="7">
        <v>7</v>
      </c>
      <c r="H199" s="6"/>
    </row>
    <row r="200" spans="1:8" ht="18" customHeight="1" x14ac:dyDescent="0.3">
      <c r="A200" s="8"/>
      <c r="B200" s="9"/>
      <c r="C200" s="9" t="s">
        <v>18</v>
      </c>
      <c r="D200" s="8" t="s">
        <v>19</v>
      </c>
      <c r="E200" s="19">
        <f>VLOOKUP(C200,FeaturePool!$C$355:$F$386,3,FALSE)</f>
        <v>2</v>
      </c>
      <c r="F200" s="19">
        <f>VLOOKUP(C200,FeaturePool!$C:$F,4,FALSE)</f>
        <v>0.111</v>
      </c>
      <c r="G200" s="10">
        <v>8</v>
      </c>
      <c r="H200" s="8"/>
    </row>
    <row r="201" spans="1:8" ht="18" customHeight="1" x14ac:dyDescent="0.3">
      <c r="A201" s="6"/>
      <c r="B201" s="5"/>
      <c r="C201" s="5" t="s">
        <v>158</v>
      </c>
      <c r="D201" s="6" t="s">
        <v>159</v>
      </c>
      <c r="E201" s="6">
        <f>VLOOKUP(C201,FeaturePool!$C$355:$F$386,3,FALSE)</f>
        <v>11</v>
      </c>
      <c r="F201" s="6">
        <f>VLOOKUP(C201,FeaturePool!$C:$F,4,FALSE)</f>
        <v>0.2</v>
      </c>
      <c r="G201" s="7">
        <v>9</v>
      </c>
      <c r="H201" s="6"/>
    </row>
    <row r="202" spans="1:8" ht="18" customHeight="1" x14ac:dyDescent="0.3">
      <c r="A202" s="8"/>
      <c r="B202" s="9"/>
      <c r="C202" s="5" t="s">
        <v>254</v>
      </c>
      <c r="D202" s="6" t="s">
        <v>255</v>
      </c>
      <c r="E202" s="19">
        <f>VLOOKUP(C202,FeaturePool!$C$355:$F$386,3,FALSE)</f>
        <v>17</v>
      </c>
      <c r="F202" s="19">
        <f>VLOOKUP(C202,FeaturePool!$C:$F,4,FALSE)</f>
        <v>0.33300000000000002</v>
      </c>
      <c r="G202" s="10">
        <v>10</v>
      </c>
      <c r="H202" s="8"/>
    </row>
    <row r="203" spans="1:8" ht="6" customHeight="1" x14ac:dyDescent="0.3">
      <c r="E203" s="19"/>
      <c r="F203" s="19"/>
    </row>
    <row r="204" spans="1:8" ht="18" customHeight="1" x14ac:dyDescent="0.3">
      <c r="A204" s="4" t="s">
        <v>256</v>
      </c>
      <c r="B204" s="5" t="s">
        <v>257</v>
      </c>
      <c r="C204" s="5" t="s">
        <v>258</v>
      </c>
      <c r="D204" s="6" t="s">
        <v>259</v>
      </c>
      <c r="E204" s="6">
        <f>VLOOKUP(C204,FeaturePool!$C$387:$F$403,3,FALSE)</f>
        <v>2</v>
      </c>
      <c r="F204" s="6">
        <f>VLOOKUP(C204,FeaturePool!$C:$F,4,FALSE)</f>
        <v>0.1</v>
      </c>
      <c r="G204" s="7">
        <v>1</v>
      </c>
      <c r="H204" s="6"/>
    </row>
    <row r="205" spans="1:8" ht="18" customHeight="1" x14ac:dyDescent="0.3">
      <c r="A205" s="8"/>
      <c r="B205" s="9"/>
      <c r="C205" s="9" t="s">
        <v>260</v>
      </c>
      <c r="D205" s="8" t="s">
        <v>261</v>
      </c>
      <c r="E205" s="19">
        <f>VLOOKUP(C205,FeaturePool!$C$387:$F$403,3,FALSE)</f>
        <v>3</v>
      </c>
      <c r="F205" s="19">
        <f>VLOOKUP(C205,FeaturePool!$C:$F,4,FALSE)</f>
        <v>0.25</v>
      </c>
      <c r="G205" s="10">
        <v>2</v>
      </c>
      <c r="H205" s="8"/>
    </row>
    <row r="206" spans="1:8" ht="18" customHeight="1" x14ac:dyDescent="0.3">
      <c r="A206" s="6"/>
      <c r="B206" s="5"/>
      <c r="C206" s="5" t="s">
        <v>262</v>
      </c>
      <c r="D206" s="6" t="s">
        <v>263</v>
      </c>
      <c r="E206" s="6">
        <f>VLOOKUP(C206,FeaturePool!$C$387:$F$403,3,FALSE)</f>
        <v>27</v>
      </c>
      <c r="F206" s="6">
        <f>VLOOKUP(C206,FeaturePool!$C:$F,4,FALSE)</f>
        <v>0.2</v>
      </c>
      <c r="G206" s="7">
        <v>3</v>
      </c>
      <c r="H206" s="6" t="s">
        <v>264</v>
      </c>
    </row>
    <row r="207" spans="1:8" ht="18" customHeight="1" x14ac:dyDescent="0.3">
      <c r="A207" s="8"/>
      <c r="B207" s="9"/>
      <c r="C207" s="9" t="s">
        <v>265</v>
      </c>
      <c r="D207" s="8" t="s">
        <v>266</v>
      </c>
      <c r="E207" s="19">
        <f>VLOOKUP(C207,FeaturePool!$C$387:$F$403,3,FALSE)</f>
        <v>9</v>
      </c>
      <c r="F207" s="19">
        <f>VLOOKUP(C207,FeaturePool!$C:$F,4,FALSE)</f>
        <v>0.25</v>
      </c>
      <c r="G207" s="10">
        <v>4</v>
      </c>
      <c r="H207" s="8"/>
    </row>
    <row r="208" spans="1:8" ht="18" customHeight="1" x14ac:dyDescent="0.3">
      <c r="A208" s="6"/>
      <c r="B208" s="5"/>
      <c r="C208" s="5" t="s">
        <v>267</v>
      </c>
      <c r="D208" s="6" t="s">
        <v>268</v>
      </c>
      <c r="E208" s="6">
        <f>VLOOKUP(C208,FeaturePool!$C$387:$F$403,3,FALSE)</f>
        <v>1</v>
      </c>
      <c r="F208" s="6">
        <f>VLOOKUP(C208,FeaturePool!$C:$F,4,FALSE)</f>
        <v>0.14299999999999999</v>
      </c>
      <c r="G208" s="7">
        <v>5</v>
      </c>
      <c r="H208" s="6"/>
    </row>
    <row r="209" spans="1:8" ht="18" customHeight="1" x14ac:dyDescent="0.3">
      <c r="A209" s="8"/>
      <c r="B209" s="9"/>
      <c r="C209" s="18" t="s">
        <v>269</v>
      </c>
      <c r="D209" s="19" t="s">
        <v>270</v>
      </c>
      <c r="E209" s="19">
        <f>VLOOKUP(C209,FeaturePool!$C$387:$F$403,3,FALSE)</f>
        <v>2</v>
      </c>
      <c r="F209" s="19">
        <f>VLOOKUP(C209,FeaturePool!$C:$F,4,FALSE)</f>
        <v>0.16700000000000001</v>
      </c>
      <c r="G209" s="10">
        <v>6</v>
      </c>
      <c r="H209" s="8"/>
    </row>
    <row r="210" spans="1:8" ht="18" customHeight="1" x14ac:dyDescent="0.3">
      <c r="A210" s="6"/>
      <c r="B210" s="5"/>
      <c r="C210" s="5" t="s">
        <v>110</v>
      </c>
      <c r="D210" s="6" t="s">
        <v>111</v>
      </c>
      <c r="E210" s="6">
        <f>VLOOKUP(C210,FeaturePool!$C$387:$F$403,3,FALSE)</f>
        <v>6</v>
      </c>
      <c r="F210" s="6">
        <f>VLOOKUP(C210,FeaturePool!$C:$F,4,FALSE)</f>
        <v>0.33300000000000002</v>
      </c>
      <c r="G210" s="7">
        <v>7</v>
      </c>
      <c r="H210" s="6"/>
    </row>
    <row r="211" spans="1:8" ht="18" customHeight="1" x14ac:dyDescent="0.3">
      <c r="A211" s="8"/>
      <c r="B211" s="9"/>
      <c r="C211" s="9" t="s">
        <v>102</v>
      </c>
      <c r="D211" s="8" t="s">
        <v>103</v>
      </c>
      <c r="E211" s="19">
        <f>VLOOKUP(C211,FeaturePool!$C$387:$F$403,3,FALSE)</f>
        <v>1</v>
      </c>
      <c r="F211" s="19">
        <f>VLOOKUP(C211,FeaturePool!$C:$F,4,FALSE)</f>
        <v>0.33300000000000002</v>
      </c>
      <c r="G211" s="10">
        <v>8</v>
      </c>
      <c r="H211" s="8"/>
    </row>
    <row r="212" spans="1:8" ht="18" customHeight="1" x14ac:dyDescent="0.3">
      <c r="A212" s="6"/>
      <c r="B212" s="5"/>
      <c r="C212" s="5" t="s">
        <v>56</v>
      </c>
      <c r="D212" s="6" t="s">
        <v>57</v>
      </c>
      <c r="E212" s="6">
        <f>VLOOKUP(C212,FeaturePool!$C$387:$F$403,3,FALSE)</f>
        <v>1</v>
      </c>
      <c r="F212" s="6">
        <f>VLOOKUP(C212,FeaturePool!$C:$F,4,FALSE)</f>
        <v>0.2</v>
      </c>
      <c r="G212" s="7">
        <v>9</v>
      </c>
      <c r="H212" s="6"/>
    </row>
    <row r="213" spans="1:8" ht="18" customHeight="1" x14ac:dyDescent="0.3">
      <c r="A213" s="8"/>
      <c r="B213" s="9"/>
      <c r="C213" s="9" t="s">
        <v>271</v>
      </c>
      <c r="D213" s="8" t="s">
        <v>272</v>
      </c>
      <c r="E213" s="19">
        <f>VLOOKUP(C213,FeaturePool!$C$387:$F$403,3,FALSE)</f>
        <v>8</v>
      </c>
      <c r="F213" s="19">
        <f>VLOOKUP(C213,FeaturePool!$C:$F,4,FALSE)</f>
        <v>0.33300000000000002</v>
      </c>
      <c r="G213" s="10">
        <v>10</v>
      </c>
      <c r="H213" s="8"/>
    </row>
    <row r="214" spans="1:8" ht="6" customHeight="1" x14ac:dyDescent="0.3">
      <c r="E214" s="19"/>
      <c r="F214" s="19"/>
    </row>
    <row r="215" spans="1:8" ht="18" customHeight="1" x14ac:dyDescent="0.3">
      <c r="A215" s="4" t="s">
        <v>273</v>
      </c>
      <c r="B215" s="5" t="s">
        <v>274</v>
      </c>
      <c r="C215" s="5" t="s">
        <v>46</v>
      </c>
      <c r="D215" s="6" t="s">
        <v>47</v>
      </c>
      <c r="E215" s="6">
        <f>VLOOKUP(C215,FeaturePool!$C$404:$F$423,3,FALSE)</f>
        <v>3</v>
      </c>
      <c r="F215" s="6">
        <f>VLOOKUP(C215,FeaturePool!$C:$F,4,FALSE)</f>
        <v>0.14299999999999999</v>
      </c>
      <c r="G215" s="7">
        <v>1</v>
      </c>
      <c r="H215" s="6"/>
    </row>
    <row r="216" spans="1:8" ht="18" customHeight="1" x14ac:dyDescent="0.3">
      <c r="A216" s="8"/>
      <c r="B216" s="9"/>
      <c r="C216" s="9" t="s">
        <v>50</v>
      </c>
      <c r="D216" s="8" t="s">
        <v>51</v>
      </c>
      <c r="E216" s="19">
        <f>VLOOKUP(C216,FeaturePool!$C$404:$F$423,3,FALSE)</f>
        <v>2</v>
      </c>
      <c r="F216" s="19">
        <f>VLOOKUP(C216,FeaturePool!$C:$F,4,FALSE)</f>
        <v>0.125</v>
      </c>
      <c r="G216" s="10">
        <v>2</v>
      </c>
      <c r="H216" s="8"/>
    </row>
    <row r="217" spans="1:8" ht="18" customHeight="1" x14ac:dyDescent="0.3">
      <c r="A217" s="6"/>
      <c r="B217" s="5"/>
      <c r="C217" s="9" t="s">
        <v>275</v>
      </c>
      <c r="D217" s="8" t="s">
        <v>276</v>
      </c>
      <c r="E217" s="6">
        <f>VLOOKUP(C217,FeaturePool!$C$404:$F$423,3,FALSE)</f>
        <v>1</v>
      </c>
      <c r="F217" s="6">
        <f>VLOOKUP(C217,FeaturePool!$C:$F,4,FALSE)</f>
        <v>0.33300000000000002</v>
      </c>
      <c r="G217" s="7">
        <v>3</v>
      </c>
      <c r="H217" s="6"/>
    </row>
    <row r="218" spans="1:8" ht="18" customHeight="1" x14ac:dyDescent="0.3">
      <c r="A218" s="8"/>
      <c r="B218" s="9"/>
      <c r="C218" s="5" t="s">
        <v>277</v>
      </c>
      <c r="D218" s="6" t="s">
        <v>278</v>
      </c>
      <c r="E218" s="19">
        <f>VLOOKUP(C218,FeaturePool!$C$404:$F$423,3,FALSE)</f>
        <v>4</v>
      </c>
      <c r="F218" s="19">
        <f>VLOOKUP(C218,FeaturePool!$C:$F,4,FALSE)</f>
        <v>0.33300000000000002</v>
      </c>
      <c r="G218" s="10">
        <v>4</v>
      </c>
      <c r="H218" s="8"/>
    </row>
    <row r="219" spans="1:8" ht="18" customHeight="1" x14ac:dyDescent="0.3">
      <c r="A219" s="6"/>
      <c r="B219" s="5"/>
      <c r="C219" s="5" t="s">
        <v>279</v>
      </c>
      <c r="D219" s="6" t="s">
        <v>280</v>
      </c>
      <c r="E219" s="6">
        <f>VLOOKUP(C219,FeaturePool!$C$404:$F$423,3,FALSE)</f>
        <v>5</v>
      </c>
      <c r="F219" s="6">
        <f>VLOOKUP(C219,FeaturePool!$C:$F,4,FALSE)</f>
        <v>0.33300000000000002</v>
      </c>
      <c r="G219" s="7">
        <v>5</v>
      </c>
      <c r="H219" s="6"/>
    </row>
    <row r="220" spans="1:8" ht="18" customHeight="1" x14ac:dyDescent="0.3">
      <c r="A220" s="8"/>
      <c r="B220" s="9"/>
      <c r="C220" s="9" t="s">
        <v>41</v>
      </c>
      <c r="D220" s="8" t="s">
        <v>42</v>
      </c>
      <c r="E220" s="19">
        <f>VLOOKUP(C220,FeaturePool!$C$404:$F$423,3,FALSE)</f>
        <v>3</v>
      </c>
      <c r="F220" s="19">
        <f>VLOOKUP(C220,FeaturePool!$C:$F,4,FALSE)</f>
        <v>0.16700000000000001</v>
      </c>
      <c r="G220" s="10">
        <v>6</v>
      </c>
      <c r="H220" s="8"/>
    </row>
    <row r="221" spans="1:8" ht="18" customHeight="1" x14ac:dyDescent="0.3">
      <c r="A221" s="6"/>
      <c r="B221" s="5"/>
      <c r="C221" s="9" t="s">
        <v>109</v>
      </c>
      <c r="D221" s="8" t="s">
        <v>108</v>
      </c>
      <c r="E221" s="6">
        <f>VLOOKUP(C221,FeaturePool!$C$404:$F$423,3,FALSE)</f>
        <v>3</v>
      </c>
      <c r="F221" s="6">
        <f>VLOOKUP(C221,FeaturePool!$C:$F,4,FALSE)</f>
        <v>0.14299999999999999</v>
      </c>
      <c r="G221" s="7">
        <v>7</v>
      </c>
      <c r="H221" s="6"/>
    </row>
    <row r="222" spans="1:8" ht="18" customHeight="1" x14ac:dyDescent="0.3">
      <c r="A222" s="8"/>
      <c r="B222" s="9"/>
      <c r="C222" s="9" t="s">
        <v>281</v>
      </c>
      <c r="D222" s="8" t="s">
        <v>282</v>
      </c>
      <c r="E222" s="19">
        <f>VLOOKUP(C222,FeaturePool!$C$404:$F$423,3,FALSE)</f>
        <v>3</v>
      </c>
      <c r="F222" s="19">
        <f>VLOOKUP(C222,FeaturePool!$C:$F,4,FALSE)</f>
        <v>9.0999999999999998E-2</v>
      </c>
      <c r="G222" s="10">
        <v>8</v>
      </c>
      <c r="H222" s="8"/>
    </row>
    <row r="223" spans="1:8" ht="18" customHeight="1" x14ac:dyDescent="0.3">
      <c r="A223" s="6"/>
      <c r="B223" s="5"/>
      <c r="C223" s="9" t="s">
        <v>283</v>
      </c>
      <c r="D223" s="8" t="s">
        <v>284</v>
      </c>
      <c r="E223" s="6">
        <f>VLOOKUP(C223,FeaturePool!$C$404:$F$423,3,FALSE)</f>
        <v>6</v>
      </c>
      <c r="F223" s="6">
        <f>VLOOKUP(C223,FeaturePool!$C:$F,4,FALSE)</f>
        <v>0.33300000000000002</v>
      </c>
      <c r="G223" s="7">
        <v>9</v>
      </c>
      <c r="H223" s="6"/>
    </row>
    <row r="224" spans="1:8" ht="18" customHeight="1" x14ac:dyDescent="0.3">
      <c r="A224" s="8"/>
      <c r="B224" s="9"/>
      <c r="C224" s="5" t="s">
        <v>285</v>
      </c>
      <c r="D224" s="6" t="s">
        <v>286</v>
      </c>
      <c r="E224" s="19">
        <f>VLOOKUP(C224,FeaturePool!$C$404:$F$423,3,FALSE)</f>
        <v>24</v>
      </c>
      <c r="F224" s="19">
        <f>VLOOKUP(C224,FeaturePool!$C:$F,4,FALSE)</f>
        <v>0.25</v>
      </c>
      <c r="G224" s="10">
        <v>10</v>
      </c>
      <c r="H224" s="8" t="s">
        <v>264</v>
      </c>
    </row>
    <row r="225" spans="1:8" ht="6" customHeight="1" x14ac:dyDescent="0.3">
      <c r="E225" s="19"/>
      <c r="F225" s="19"/>
    </row>
    <row r="226" spans="1:8" ht="18" customHeight="1" x14ac:dyDescent="0.3">
      <c r="A226" s="4" t="s">
        <v>287</v>
      </c>
      <c r="B226" s="5" t="s">
        <v>288</v>
      </c>
      <c r="C226" s="5" t="s">
        <v>258</v>
      </c>
      <c r="D226" s="6" t="s">
        <v>259</v>
      </c>
      <c r="E226" s="18">
        <v>3</v>
      </c>
      <c r="F226" s="18">
        <v>0.1</v>
      </c>
      <c r="G226" s="7">
        <v>1</v>
      </c>
      <c r="H226" s="6"/>
    </row>
    <row r="227" spans="1:8" ht="18" customHeight="1" x14ac:dyDescent="0.3">
      <c r="A227" s="8"/>
      <c r="B227" s="9"/>
      <c r="C227" s="9" t="s">
        <v>289</v>
      </c>
      <c r="D227" s="8" t="s">
        <v>290</v>
      </c>
      <c r="E227" s="20">
        <v>3</v>
      </c>
      <c r="F227" s="20">
        <v>0.33300000000000002</v>
      </c>
      <c r="G227" s="10">
        <v>2</v>
      </c>
      <c r="H227" s="8"/>
    </row>
    <row r="228" spans="1:8" ht="18" customHeight="1" x14ac:dyDescent="0.3">
      <c r="A228" s="6"/>
      <c r="B228" s="5"/>
      <c r="C228" s="18" t="s">
        <v>291</v>
      </c>
      <c r="D228" s="19" t="s">
        <v>292</v>
      </c>
      <c r="E228" s="18">
        <v>11</v>
      </c>
      <c r="F228" s="18">
        <v>0.2</v>
      </c>
      <c r="G228" s="7">
        <v>3</v>
      </c>
      <c r="H228" s="6"/>
    </row>
    <row r="229" spans="1:8" ht="18" customHeight="1" x14ac:dyDescent="0.3">
      <c r="A229" s="8"/>
      <c r="B229" s="9"/>
      <c r="C229" s="9" t="s">
        <v>130</v>
      </c>
      <c r="D229" s="8" t="s">
        <v>131</v>
      </c>
      <c r="E229" s="20">
        <v>18</v>
      </c>
      <c r="F229" s="20">
        <v>0.2</v>
      </c>
      <c r="G229" s="10">
        <v>4</v>
      </c>
      <c r="H229" s="8"/>
    </row>
    <row r="230" spans="1:8" ht="18" customHeight="1" x14ac:dyDescent="0.3">
      <c r="A230" s="6"/>
      <c r="B230" s="5"/>
      <c r="C230" s="5" t="s">
        <v>122</v>
      </c>
      <c r="D230" s="6" t="s">
        <v>123</v>
      </c>
      <c r="E230" s="18">
        <v>11</v>
      </c>
      <c r="F230" s="18">
        <v>0.33300000000000002</v>
      </c>
      <c r="G230" s="7">
        <v>5</v>
      </c>
      <c r="H230" s="6"/>
    </row>
    <row r="231" spans="1:8" ht="18" customHeight="1" x14ac:dyDescent="0.3">
      <c r="A231" s="8"/>
      <c r="B231" s="9"/>
      <c r="C231" s="18" t="s">
        <v>293</v>
      </c>
      <c r="D231" s="19" t="s">
        <v>294</v>
      </c>
      <c r="E231" s="18">
        <v>7</v>
      </c>
      <c r="F231" s="18">
        <v>0.33300000000000002</v>
      </c>
      <c r="G231" s="10">
        <v>6</v>
      </c>
      <c r="H231" s="8"/>
    </row>
    <row r="232" spans="1:8" ht="18" customHeight="1" x14ac:dyDescent="0.3">
      <c r="A232" s="6"/>
      <c r="B232" s="5"/>
      <c r="C232" s="20" t="s">
        <v>240</v>
      </c>
      <c r="D232" s="21" t="s">
        <v>241</v>
      </c>
      <c r="E232" s="20">
        <v>3</v>
      </c>
      <c r="F232" s="20">
        <v>9.0999999999999998E-2</v>
      </c>
      <c r="G232" s="7">
        <v>7</v>
      </c>
      <c r="H232" s="6"/>
    </row>
    <row r="233" spans="1:8" ht="18" customHeight="1" x14ac:dyDescent="0.3">
      <c r="A233" s="8"/>
      <c r="B233" s="9"/>
      <c r="C233" s="20" t="s">
        <v>295</v>
      </c>
      <c r="D233" s="21" t="s">
        <v>296</v>
      </c>
      <c r="E233" s="20">
        <v>2</v>
      </c>
      <c r="F233" s="20">
        <v>0.33300000000000002</v>
      </c>
      <c r="G233" s="10">
        <v>8</v>
      </c>
      <c r="H233" s="8"/>
    </row>
    <row r="234" spans="1:8" ht="18" customHeight="1" x14ac:dyDescent="0.3">
      <c r="A234" s="6"/>
      <c r="B234" s="5"/>
      <c r="C234" s="18" t="s">
        <v>265</v>
      </c>
      <c r="D234" s="19" t="s">
        <v>266</v>
      </c>
      <c r="E234" s="18">
        <v>1</v>
      </c>
      <c r="F234" s="18">
        <v>0.25</v>
      </c>
      <c r="G234" s="7">
        <v>9</v>
      </c>
      <c r="H234" s="6"/>
    </row>
    <row r="235" spans="1:8" ht="18" customHeight="1" x14ac:dyDescent="0.3">
      <c r="A235" s="8"/>
      <c r="B235" s="9"/>
      <c r="C235" s="9" t="s">
        <v>132</v>
      </c>
      <c r="D235" s="8" t="s">
        <v>133</v>
      </c>
      <c r="E235" s="20">
        <v>2</v>
      </c>
      <c r="F235" s="20">
        <v>0.25</v>
      </c>
      <c r="G235" s="10">
        <v>10</v>
      </c>
      <c r="H235" s="8"/>
    </row>
    <row r="236" spans="1:8" ht="6" customHeight="1" x14ac:dyDescent="0.3">
      <c r="E236" s="19"/>
      <c r="F236" s="19"/>
    </row>
    <row r="237" spans="1:8" ht="18" customHeight="1" x14ac:dyDescent="0.3">
      <c r="A237" s="4" t="s">
        <v>297</v>
      </c>
      <c r="B237" s="5" t="s">
        <v>298</v>
      </c>
      <c r="C237" s="20" t="s">
        <v>180</v>
      </c>
      <c r="D237" s="21" t="s">
        <v>181</v>
      </c>
      <c r="E237" s="6">
        <f>VLOOKUP(C237,FeaturePool!$C$443:$F$472,3,FALSE)</f>
        <v>2</v>
      </c>
      <c r="F237" s="6">
        <f>VLOOKUP(C237,FeaturePool!$C:$F,4,FALSE)</f>
        <v>0.16700000000000001</v>
      </c>
      <c r="G237" s="7">
        <v>1</v>
      </c>
      <c r="H237" s="6"/>
    </row>
    <row r="238" spans="1:8" ht="18" customHeight="1" x14ac:dyDescent="0.3">
      <c r="A238" s="8"/>
      <c r="B238" s="9"/>
      <c r="C238" s="20" t="s">
        <v>299</v>
      </c>
      <c r="D238" s="21" t="s">
        <v>300</v>
      </c>
      <c r="E238" s="19">
        <f>VLOOKUP(C238,FeaturePool!$C$443:$F$472,3,FALSE)</f>
        <v>9</v>
      </c>
      <c r="F238" s="19">
        <f>VLOOKUP(C238,FeaturePool!$C:$F,4,FALSE)</f>
        <v>0.25</v>
      </c>
      <c r="G238" s="10">
        <v>2</v>
      </c>
      <c r="H238" s="8"/>
    </row>
    <row r="239" spans="1:8" ht="18" customHeight="1" x14ac:dyDescent="0.3">
      <c r="A239" s="6"/>
      <c r="B239" s="5"/>
      <c r="C239" s="20" t="s">
        <v>78</v>
      </c>
      <c r="D239" s="21" t="s">
        <v>79</v>
      </c>
      <c r="E239" s="6">
        <f>VLOOKUP(C239,FeaturePool!$C$443:$F$472,3,FALSE)</f>
        <v>6</v>
      </c>
      <c r="F239" s="6">
        <f>VLOOKUP(C239,FeaturePool!$C:$F,4,FALSE)</f>
        <v>0.05</v>
      </c>
      <c r="G239" s="7">
        <v>3</v>
      </c>
      <c r="H239" s="6"/>
    </row>
    <row r="240" spans="1:8" ht="18" customHeight="1" x14ac:dyDescent="0.3">
      <c r="A240" s="8"/>
      <c r="B240" s="9"/>
      <c r="C240" s="18" t="s">
        <v>158</v>
      </c>
      <c r="D240" s="19" t="s">
        <v>159</v>
      </c>
      <c r="E240" s="19">
        <f>VLOOKUP(C240,FeaturePool!$C$443:$F$472,3,FALSE)</f>
        <v>15</v>
      </c>
      <c r="F240" s="19">
        <f>VLOOKUP(C240,FeaturePool!$C:$F,4,FALSE)</f>
        <v>0.2</v>
      </c>
      <c r="G240" s="10">
        <v>4</v>
      </c>
      <c r="H240" s="8"/>
    </row>
    <row r="241" spans="1:8" ht="18" customHeight="1" x14ac:dyDescent="0.3">
      <c r="A241" s="6"/>
      <c r="B241" s="5"/>
      <c r="C241" s="18" t="s">
        <v>90</v>
      </c>
      <c r="D241" s="19" t="s">
        <v>91</v>
      </c>
      <c r="E241" s="6">
        <f>VLOOKUP(C241,FeaturePool!$C$443:$F$472,3,FALSE)</f>
        <v>4</v>
      </c>
      <c r="F241" s="6">
        <f>VLOOKUP(C241,FeaturePool!$C:$F,4,FALSE)</f>
        <v>9.0999999999999998E-2</v>
      </c>
      <c r="G241" s="7">
        <v>5</v>
      </c>
      <c r="H241" s="6"/>
    </row>
    <row r="242" spans="1:8" ht="18" customHeight="1" x14ac:dyDescent="0.3">
      <c r="A242" s="8"/>
      <c r="B242" s="9"/>
      <c r="C242" s="18" t="s">
        <v>68</v>
      </c>
      <c r="D242" s="19" t="s">
        <v>69</v>
      </c>
      <c r="E242" s="19">
        <f>VLOOKUP(C242,FeaturePool!$C$443:$F$472,3,FALSE)</f>
        <v>3</v>
      </c>
      <c r="F242" s="19">
        <f>VLOOKUP(C242,FeaturePool!$C:$F,4,FALSE)</f>
        <v>0.14299999999999999</v>
      </c>
      <c r="G242" s="10">
        <v>6</v>
      </c>
      <c r="H242" s="8"/>
    </row>
    <row r="243" spans="1:8" ht="18" customHeight="1" x14ac:dyDescent="0.3">
      <c r="A243" s="6"/>
      <c r="B243" s="5"/>
      <c r="C243" s="20" t="s">
        <v>301</v>
      </c>
      <c r="D243" s="21" t="s">
        <v>302</v>
      </c>
      <c r="E243" s="6">
        <f>VLOOKUP(C243,FeaturePool!$C$443:$F$472,3,FALSE)</f>
        <v>3</v>
      </c>
      <c r="F243" s="6">
        <f>VLOOKUP(C243,FeaturePool!$C:$F,4,FALSE)</f>
        <v>0.16700000000000001</v>
      </c>
      <c r="G243" s="7">
        <v>7</v>
      </c>
      <c r="H243" s="6"/>
    </row>
    <row r="244" spans="1:8" ht="18" customHeight="1" x14ac:dyDescent="0.3">
      <c r="A244" s="8"/>
      <c r="B244" s="9"/>
      <c r="C244" s="18" t="s">
        <v>248</v>
      </c>
      <c r="D244" s="19" t="s">
        <v>249</v>
      </c>
      <c r="E244" s="19">
        <f>VLOOKUP(C244,FeaturePool!$C$443:$F$472,3,FALSE)</f>
        <v>5</v>
      </c>
      <c r="F244" s="19">
        <f>VLOOKUP(C244,FeaturePool!$C:$F,4,FALSE)</f>
        <v>0.33300000000000002</v>
      </c>
      <c r="G244" s="10">
        <v>8</v>
      </c>
      <c r="H244" s="8"/>
    </row>
    <row r="245" spans="1:8" ht="18" customHeight="1" x14ac:dyDescent="0.3">
      <c r="A245" s="6"/>
      <c r="B245" s="5"/>
      <c r="C245" s="18" t="s">
        <v>303</v>
      </c>
      <c r="D245" s="19" t="s">
        <v>304</v>
      </c>
      <c r="E245" s="6">
        <f>VLOOKUP(C245,FeaturePool!$C$443:$F$472,3,FALSE)</f>
        <v>3</v>
      </c>
      <c r="F245" s="6">
        <f>VLOOKUP(C245,FeaturePool!$C:$F,4,FALSE)</f>
        <v>0.33300000000000002</v>
      </c>
      <c r="G245" s="7">
        <v>9</v>
      </c>
      <c r="H245" s="6"/>
    </row>
    <row r="246" spans="1:8" ht="18" customHeight="1" x14ac:dyDescent="0.3">
      <c r="A246" s="8"/>
      <c r="B246" s="9"/>
      <c r="C246" s="18" t="s">
        <v>76</v>
      </c>
      <c r="D246" s="19" t="s">
        <v>77</v>
      </c>
      <c r="E246" s="19">
        <f>VLOOKUP(C246,FeaturePool!$C$443:$F$472,3,FALSE)</f>
        <v>1</v>
      </c>
      <c r="F246" s="19">
        <f>VLOOKUP(C246,FeaturePool!$C:$F,4,FALSE)</f>
        <v>0.25</v>
      </c>
      <c r="G246" s="10">
        <v>10</v>
      </c>
      <c r="H246" s="8"/>
    </row>
    <row r="247" spans="1:8" ht="6" customHeight="1" x14ac:dyDescent="0.3">
      <c r="E247" s="19"/>
      <c r="F247" s="19"/>
    </row>
    <row r="248" spans="1:8" ht="18" customHeight="1" x14ac:dyDescent="0.3">
      <c r="A248" s="4" t="s">
        <v>305</v>
      </c>
      <c r="B248" s="5" t="s">
        <v>306</v>
      </c>
      <c r="C248" s="5" t="s">
        <v>120</v>
      </c>
      <c r="D248" s="6" t="s">
        <v>121</v>
      </c>
      <c r="E248" s="18">
        <v>4</v>
      </c>
      <c r="F248" s="18">
        <v>0.16700000000000001</v>
      </c>
      <c r="G248" s="7">
        <v>1</v>
      </c>
      <c r="H248" s="6"/>
    </row>
    <row r="249" spans="1:8" ht="18" customHeight="1" x14ac:dyDescent="0.3">
      <c r="A249" s="8"/>
      <c r="B249" s="9"/>
      <c r="C249" s="9" t="s">
        <v>116</v>
      </c>
      <c r="D249" s="8" t="s">
        <v>117</v>
      </c>
      <c r="E249" s="20">
        <v>7</v>
      </c>
      <c r="F249" s="20">
        <v>0.14299999999999999</v>
      </c>
      <c r="G249" s="10">
        <v>2</v>
      </c>
      <c r="H249" s="8"/>
    </row>
    <row r="250" spans="1:8" ht="18" customHeight="1" x14ac:dyDescent="0.3">
      <c r="A250" s="6"/>
      <c r="B250" s="5"/>
      <c r="C250" s="5" t="s">
        <v>307</v>
      </c>
      <c r="D250" s="6" t="s">
        <v>308</v>
      </c>
      <c r="E250" s="18">
        <v>2</v>
      </c>
      <c r="F250" s="18">
        <v>0.25</v>
      </c>
      <c r="G250" s="7">
        <v>3</v>
      </c>
      <c r="H250" s="6"/>
    </row>
    <row r="251" spans="1:8" ht="18" customHeight="1" x14ac:dyDescent="0.3">
      <c r="A251" s="8"/>
      <c r="B251" s="9"/>
      <c r="C251" s="9" t="s">
        <v>234</v>
      </c>
      <c r="D251" s="8" t="s">
        <v>235</v>
      </c>
      <c r="E251" s="20">
        <v>2</v>
      </c>
      <c r="F251" s="20">
        <v>0.2</v>
      </c>
      <c r="G251" s="10">
        <v>4</v>
      </c>
      <c r="H251" s="8"/>
    </row>
    <row r="252" spans="1:8" ht="18" customHeight="1" x14ac:dyDescent="0.3">
      <c r="A252" s="6"/>
      <c r="B252" s="5"/>
      <c r="C252" s="20" t="s">
        <v>128</v>
      </c>
      <c r="D252" s="21" t="s">
        <v>129</v>
      </c>
      <c r="E252" s="20">
        <v>3</v>
      </c>
      <c r="F252" s="20">
        <v>0.33300000000000002</v>
      </c>
      <c r="G252" s="33">
        <v>5</v>
      </c>
      <c r="H252" s="6"/>
    </row>
    <row r="253" spans="1:8" ht="18" customHeight="1" x14ac:dyDescent="0.3">
      <c r="A253" s="8"/>
      <c r="B253" s="9"/>
      <c r="C253" s="18" t="s">
        <v>240</v>
      </c>
      <c r="D253" s="19" t="s">
        <v>241</v>
      </c>
      <c r="E253" s="18">
        <v>3</v>
      </c>
      <c r="F253" s="18">
        <v>9.0999999999999998E-2</v>
      </c>
      <c r="G253" s="10">
        <v>6</v>
      </c>
      <c r="H253" s="8"/>
    </row>
    <row r="254" spans="1:8" ht="18" customHeight="1" x14ac:dyDescent="0.3">
      <c r="A254" s="6"/>
      <c r="B254" s="5"/>
      <c r="C254" s="5" t="s">
        <v>126</v>
      </c>
      <c r="D254" s="6" t="s">
        <v>127</v>
      </c>
      <c r="E254" s="18">
        <v>1</v>
      </c>
      <c r="F254" s="18">
        <v>0.111</v>
      </c>
      <c r="G254" s="7">
        <v>7</v>
      </c>
      <c r="H254" s="6"/>
    </row>
    <row r="255" spans="1:8" ht="18" customHeight="1" x14ac:dyDescent="0.3">
      <c r="A255" s="8"/>
      <c r="B255" s="9"/>
      <c r="C255" s="18" t="s">
        <v>309</v>
      </c>
      <c r="D255" s="19" t="s">
        <v>310</v>
      </c>
      <c r="E255" s="18">
        <v>2</v>
      </c>
      <c r="F255" s="18">
        <v>0.33300000000000002</v>
      </c>
      <c r="G255" s="10">
        <v>8</v>
      </c>
      <c r="H255" s="8"/>
    </row>
    <row r="256" spans="1:8" ht="18" customHeight="1" x14ac:dyDescent="0.3">
      <c r="A256" s="6"/>
      <c r="B256" s="5"/>
      <c r="C256" s="5" t="s">
        <v>311</v>
      </c>
      <c r="D256" s="6" t="s">
        <v>312</v>
      </c>
      <c r="E256" s="18">
        <v>1</v>
      </c>
      <c r="F256" s="18">
        <v>0.25</v>
      </c>
      <c r="G256" s="7">
        <v>9</v>
      </c>
      <c r="H256" s="6"/>
    </row>
    <row r="257" spans="1:8" ht="18" customHeight="1" x14ac:dyDescent="0.3">
      <c r="A257" s="8"/>
      <c r="B257" s="9"/>
      <c r="C257" s="18" t="s">
        <v>118</v>
      </c>
      <c r="D257" s="19" t="s">
        <v>119</v>
      </c>
      <c r="E257" s="18">
        <v>1</v>
      </c>
      <c r="F257" s="18">
        <v>0.33300000000000002</v>
      </c>
      <c r="G257" s="10">
        <v>10</v>
      </c>
      <c r="H257" s="8"/>
    </row>
    <row r="258" spans="1:8" ht="6" customHeight="1" x14ac:dyDescent="0.3">
      <c r="E258" s="19"/>
      <c r="F258" s="19"/>
    </row>
    <row r="259" spans="1:8" ht="18" customHeight="1" x14ac:dyDescent="0.3">
      <c r="A259" s="4" t="s">
        <v>313</v>
      </c>
      <c r="B259" s="5" t="s">
        <v>314</v>
      </c>
      <c r="C259" s="5" t="s">
        <v>162</v>
      </c>
      <c r="D259" s="6" t="s">
        <v>163</v>
      </c>
      <c r="E259" s="6">
        <f>VLOOKUP(C259,FeaturePool!$C$496:$F$506,3,FALSE)</f>
        <v>1</v>
      </c>
      <c r="F259" s="6">
        <f>VLOOKUP(C259,FeaturePool!$C:$F,4,FALSE)</f>
        <v>0.33300000000000002</v>
      </c>
      <c r="G259" s="7">
        <v>1</v>
      </c>
      <c r="H259" s="6"/>
    </row>
    <row r="260" spans="1:8" ht="18" customHeight="1" x14ac:dyDescent="0.3">
      <c r="A260" s="8"/>
      <c r="B260" s="9"/>
      <c r="C260" s="9" t="s">
        <v>112</v>
      </c>
      <c r="D260" s="8" t="s">
        <v>113</v>
      </c>
      <c r="E260" s="19">
        <f>VLOOKUP(C260,FeaturePool!$C$496:$F$506,3,FALSE)</f>
        <v>8</v>
      </c>
      <c r="F260" s="19">
        <f>VLOOKUP(C260,FeaturePool!$C:$F,4,FALSE)</f>
        <v>0.1</v>
      </c>
      <c r="G260" s="10">
        <v>2</v>
      </c>
      <c r="H260" s="8"/>
    </row>
    <row r="261" spans="1:8" ht="18" customHeight="1" x14ac:dyDescent="0.3">
      <c r="A261" s="6"/>
      <c r="B261" s="5"/>
      <c r="C261" s="20" t="s">
        <v>315</v>
      </c>
      <c r="D261" s="21" t="s">
        <v>316</v>
      </c>
      <c r="E261" s="6">
        <f>VLOOKUP(C261,FeaturePool!$C$496:$F$506,3,FALSE)</f>
        <v>1</v>
      </c>
      <c r="F261" s="6">
        <f>VLOOKUP(C261,FeaturePool!$C:$F,4,FALSE)</f>
        <v>0.33300000000000002</v>
      </c>
      <c r="G261" s="7">
        <v>3</v>
      </c>
      <c r="H261" s="6"/>
    </row>
    <row r="262" spans="1:8" ht="18" customHeight="1" x14ac:dyDescent="0.3">
      <c r="A262" s="8"/>
      <c r="B262" s="9"/>
      <c r="C262" s="18" t="s">
        <v>52</v>
      </c>
      <c r="D262" s="19" t="s">
        <v>53</v>
      </c>
      <c r="E262" s="19">
        <f>VLOOKUP(C262,FeaturePool!$C$496:$F$506,3,FALSE)</f>
        <v>9</v>
      </c>
      <c r="F262" s="19">
        <f>VLOOKUP(C262,FeaturePool!$C:$F,4,FALSE)</f>
        <v>8.3000000000000004E-2</v>
      </c>
      <c r="G262" s="10">
        <v>4</v>
      </c>
      <c r="H262" s="8"/>
    </row>
    <row r="263" spans="1:8" ht="18" customHeight="1" x14ac:dyDescent="0.3">
      <c r="A263" s="6"/>
      <c r="B263" s="5"/>
      <c r="C263" s="18" t="s">
        <v>210</v>
      </c>
      <c r="D263" s="6" t="s">
        <v>211</v>
      </c>
      <c r="E263" s="6">
        <f>VLOOKUP(C263,FeaturePool!$C$496:$F$506,3,FALSE)</f>
        <v>3</v>
      </c>
      <c r="F263" s="6">
        <f>VLOOKUP(C263,FeaturePool!$C:$F,4,FALSE)</f>
        <v>0.25</v>
      </c>
      <c r="G263" s="7">
        <v>5</v>
      </c>
      <c r="H263" s="6"/>
    </row>
    <row r="264" spans="1:8" ht="18" customHeight="1" x14ac:dyDescent="0.3">
      <c r="A264" s="8"/>
      <c r="B264" s="9"/>
      <c r="C264" s="9" t="s">
        <v>58</v>
      </c>
      <c r="D264" s="8" t="s">
        <v>59</v>
      </c>
      <c r="E264" s="19">
        <f>VLOOKUP(C264,FeaturePool!$C$496:$F$506,3,FALSE)</f>
        <v>4</v>
      </c>
      <c r="F264" s="19">
        <f>VLOOKUP(C264,FeaturePool!$C:$F,4,FALSE)</f>
        <v>0.25</v>
      </c>
      <c r="G264" s="10">
        <v>6</v>
      </c>
      <c r="H264" s="8"/>
    </row>
    <row r="265" spans="1:8" ht="18" customHeight="1" x14ac:dyDescent="0.3">
      <c r="A265" s="6"/>
      <c r="B265" s="5"/>
      <c r="C265" s="5" t="s">
        <v>156</v>
      </c>
      <c r="D265" s="6" t="s">
        <v>157</v>
      </c>
      <c r="E265" s="6">
        <f>VLOOKUP(C265,FeaturePool!$C$496:$F$506,3,FALSE)</f>
        <v>5</v>
      </c>
      <c r="F265" s="6">
        <f>VLOOKUP(C265,FeaturePool!$C:$F,4,FALSE)</f>
        <v>0.2</v>
      </c>
      <c r="G265" s="7">
        <v>7</v>
      </c>
      <c r="H265" s="6"/>
    </row>
    <row r="266" spans="1:8" ht="18" customHeight="1" x14ac:dyDescent="0.3">
      <c r="A266" s="8"/>
      <c r="B266" s="9"/>
      <c r="C266" s="18" t="s">
        <v>218</v>
      </c>
      <c r="D266" s="19" t="s">
        <v>219</v>
      </c>
      <c r="E266" s="19">
        <f>VLOOKUP(C266,FeaturePool!$C$496:$F$506,3,FALSE)</f>
        <v>2</v>
      </c>
      <c r="F266" s="19">
        <f>VLOOKUP(C266,FeaturePool!$C:$F,4,FALSE)</f>
        <v>0.33300000000000002</v>
      </c>
      <c r="G266" s="10">
        <v>8</v>
      </c>
      <c r="H266" s="8"/>
    </row>
    <row r="267" spans="1:8" ht="18" customHeight="1" x14ac:dyDescent="0.3">
      <c r="A267" s="6"/>
      <c r="B267" s="5"/>
      <c r="C267" s="20" t="s">
        <v>109</v>
      </c>
      <c r="D267" s="21" t="s">
        <v>108</v>
      </c>
      <c r="E267" s="6">
        <f>VLOOKUP(C267,FeaturePool!$C$496:$F$506,3,FALSE)</f>
        <v>1</v>
      </c>
      <c r="F267" s="6">
        <f>VLOOKUP(C267,FeaturePool!$C:$F,4,FALSE)</f>
        <v>0.14299999999999999</v>
      </c>
      <c r="G267" s="7">
        <v>9</v>
      </c>
      <c r="H267" s="6"/>
    </row>
    <row r="268" spans="1:8" ht="18" customHeight="1" x14ac:dyDescent="0.3">
      <c r="A268" s="8"/>
      <c r="B268" s="9"/>
      <c r="C268" s="18" t="s">
        <v>226</v>
      </c>
      <c r="D268" s="19" t="s">
        <v>227</v>
      </c>
      <c r="E268" s="19">
        <f>VLOOKUP(C268,FeaturePool!$C$496:$F$506,3,FALSE)</f>
        <v>1</v>
      </c>
      <c r="F268" s="19">
        <f>VLOOKUP(C268,FeaturePool!$C:$F,4,FALSE)</f>
        <v>0.33300000000000002</v>
      </c>
      <c r="G268" s="10">
        <v>10</v>
      </c>
      <c r="H268" s="8"/>
    </row>
    <row r="269" spans="1:8" ht="6" customHeight="1" x14ac:dyDescent="0.3">
      <c r="E269" s="19"/>
      <c r="F269" s="19"/>
    </row>
    <row r="270" spans="1:8" ht="18" customHeight="1" x14ac:dyDescent="0.3">
      <c r="A270" s="4" t="s">
        <v>317</v>
      </c>
      <c r="B270" s="5" t="s">
        <v>318</v>
      </c>
      <c r="C270" s="5" t="s">
        <v>307</v>
      </c>
      <c r="D270" s="6" t="s">
        <v>308</v>
      </c>
      <c r="E270" s="6">
        <f>VLOOKUP(C270,FeaturePool!$C$507:$F$527,3,FALSE)</f>
        <v>2</v>
      </c>
      <c r="F270" s="6">
        <f>VLOOKUP(C270,FeaturePool!$C:$F,4,FALSE)</f>
        <v>0.25</v>
      </c>
      <c r="G270" s="7">
        <v>1</v>
      </c>
      <c r="H270" s="6"/>
    </row>
    <row r="271" spans="1:8" ht="18" customHeight="1" x14ac:dyDescent="0.3">
      <c r="A271" s="8"/>
      <c r="B271" s="9"/>
      <c r="C271" s="9" t="s">
        <v>277</v>
      </c>
      <c r="D271" s="8" t="s">
        <v>278</v>
      </c>
      <c r="E271" s="19">
        <f>VLOOKUP(C271,FeaturePool!$C$507:$F$527,3,FALSE)</f>
        <v>4</v>
      </c>
      <c r="F271" s="19">
        <f>VLOOKUP(C271,FeaturePool!$C:$F,4,FALSE)</f>
        <v>0.33300000000000002</v>
      </c>
      <c r="G271" s="10">
        <v>2</v>
      </c>
      <c r="H271" s="8"/>
    </row>
    <row r="272" spans="1:8" ht="18" customHeight="1" x14ac:dyDescent="0.3">
      <c r="A272" s="6"/>
      <c r="B272" s="5"/>
      <c r="C272" s="9" t="s">
        <v>128</v>
      </c>
      <c r="D272" s="8" t="s">
        <v>129</v>
      </c>
      <c r="E272" s="6">
        <f>VLOOKUP(C272,FeaturePool!$C$507:$F$527,3,FALSE)</f>
        <v>3</v>
      </c>
      <c r="F272" s="6">
        <f>VLOOKUP(C272,FeaturePool!$C:$F,4,FALSE)</f>
        <v>0.33300000000000002</v>
      </c>
      <c r="G272" s="7">
        <v>3</v>
      </c>
      <c r="H272" s="6"/>
    </row>
    <row r="273" spans="1:8" ht="18" customHeight="1" x14ac:dyDescent="0.3">
      <c r="A273" s="8"/>
      <c r="B273" s="9"/>
      <c r="C273" s="5" t="s">
        <v>116</v>
      </c>
      <c r="D273" s="6" t="s">
        <v>117</v>
      </c>
      <c r="E273" s="19">
        <f>VLOOKUP(C273,FeaturePool!$C$507:$F$527,3,FALSE)</f>
        <v>6</v>
      </c>
      <c r="F273" s="19">
        <f>VLOOKUP(C273,FeaturePool!$C:$F,4,FALSE)</f>
        <v>0.14299999999999999</v>
      </c>
      <c r="G273" s="10">
        <v>4</v>
      </c>
      <c r="H273" s="8"/>
    </row>
    <row r="274" spans="1:8" ht="18" customHeight="1" x14ac:dyDescent="0.3">
      <c r="A274" s="6"/>
      <c r="B274" s="5"/>
      <c r="C274" s="9" t="s">
        <v>311</v>
      </c>
      <c r="D274" s="8" t="s">
        <v>312</v>
      </c>
      <c r="E274" s="6">
        <f>VLOOKUP(C274,FeaturePool!$C$507:$F$527,3,FALSE)</f>
        <v>4</v>
      </c>
      <c r="F274" s="6">
        <f>VLOOKUP(C274,FeaturePool!$C:$F,4,FALSE)</f>
        <v>0.25</v>
      </c>
      <c r="G274" s="7">
        <v>5</v>
      </c>
      <c r="H274" s="6"/>
    </row>
    <row r="275" spans="1:8" ht="18" customHeight="1" x14ac:dyDescent="0.3">
      <c r="A275" s="8"/>
      <c r="B275" s="9"/>
      <c r="C275" s="5" t="s">
        <v>319</v>
      </c>
      <c r="D275" s="6" t="s">
        <v>320</v>
      </c>
      <c r="E275" s="19">
        <f>VLOOKUP(C275,FeaturePool!$C$507:$F$527,3,FALSE)</f>
        <v>1</v>
      </c>
      <c r="F275" s="19">
        <f>VLOOKUP(C275,FeaturePool!$C:$F,4,FALSE)</f>
        <v>0.25</v>
      </c>
      <c r="G275" s="10">
        <v>6</v>
      </c>
      <c r="H275" s="8"/>
    </row>
    <row r="276" spans="1:8" ht="18" customHeight="1" x14ac:dyDescent="0.3">
      <c r="A276" s="6"/>
      <c r="B276" s="5"/>
      <c r="C276" s="9" t="s">
        <v>321</v>
      </c>
      <c r="D276" s="8" t="s">
        <v>322</v>
      </c>
      <c r="E276" s="6">
        <f>VLOOKUP(C276,FeaturePool!$C$507:$F$527,3,FALSE)</f>
        <v>2</v>
      </c>
      <c r="F276" s="6">
        <f>VLOOKUP(C276,FeaturePool!$C:$F,4,FALSE)</f>
        <v>0.33300000000000002</v>
      </c>
      <c r="G276" s="7">
        <v>7</v>
      </c>
      <c r="H276" s="6"/>
    </row>
    <row r="277" spans="1:8" ht="18" customHeight="1" x14ac:dyDescent="0.3">
      <c r="A277" s="8"/>
      <c r="B277" s="9"/>
      <c r="C277" s="5" t="s">
        <v>120</v>
      </c>
      <c r="D277" s="6" t="s">
        <v>121</v>
      </c>
      <c r="E277" s="19">
        <f>VLOOKUP(C277,FeaturePool!$C$507:$F$527,3,FALSE)</f>
        <v>2</v>
      </c>
      <c r="F277" s="19">
        <f>VLOOKUP(C277,FeaturePool!$C:$F,4,FALSE)</f>
        <v>0.16700000000000001</v>
      </c>
      <c r="G277" s="10">
        <v>8</v>
      </c>
      <c r="H277" s="8"/>
    </row>
    <row r="278" spans="1:8" ht="18" customHeight="1" x14ac:dyDescent="0.3">
      <c r="A278" s="6"/>
      <c r="B278" s="5"/>
      <c r="C278" s="5" t="s">
        <v>323</v>
      </c>
      <c r="D278" s="6" t="s">
        <v>324</v>
      </c>
      <c r="E278" s="6">
        <f>VLOOKUP(C278,FeaturePool!$C$507:$F$527,3,FALSE)</f>
        <v>2</v>
      </c>
      <c r="F278" s="6">
        <f>VLOOKUP(C278,FeaturePool!$C:$F,4,FALSE)</f>
        <v>0.16700000000000001</v>
      </c>
      <c r="G278" s="7">
        <v>9</v>
      </c>
      <c r="H278" s="6"/>
    </row>
    <row r="279" spans="1:8" ht="18" customHeight="1" x14ac:dyDescent="0.3">
      <c r="A279" s="8"/>
      <c r="B279" s="9"/>
      <c r="C279" s="9" t="s">
        <v>325</v>
      </c>
      <c r="D279" s="8" t="s">
        <v>326</v>
      </c>
      <c r="E279" s="19">
        <f>VLOOKUP(C279,FeaturePool!$C$507:$F$527,3,FALSE)</f>
        <v>3</v>
      </c>
      <c r="F279" s="19">
        <f>VLOOKUP(C279,FeaturePool!$C:$F,4,FALSE)</f>
        <v>0.33300000000000002</v>
      </c>
      <c r="G279" s="10">
        <v>10</v>
      </c>
      <c r="H279" s="8"/>
    </row>
    <row r="280" spans="1:8" ht="6" customHeight="1" x14ac:dyDescent="0.3">
      <c r="E280" s="19"/>
      <c r="F280" s="19"/>
    </row>
    <row r="281" spans="1:8" ht="18" customHeight="1" x14ac:dyDescent="0.3">
      <c r="A281" s="4" t="s">
        <v>327</v>
      </c>
      <c r="B281" s="5" t="s">
        <v>328</v>
      </c>
      <c r="C281" s="5" t="s">
        <v>52</v>
      </c>
      <c r="D281" s="6" t="s">
        <v>53</v>
      </c>
      <c r="E281" s="6">
        <f>VLOOKUP(C281,FeaturePool!$C$528:$F$540,3,FALSE)</f>
        <v>10</v>
      </c>
      <c r="F281" s="6">
        <f>VLOOKUP(C281,FeaturePool!$C:$F,4,FALSE)</f>
        <v>8.3000000000000004E-2</v>
      </c>
      <c r="G281" s="7">
        <v>1</v>
      </c>
      <c r="H281" s="6" t="s">
        <v>329</v>
      </c>
    </row>
    <row r="282" spans="1:8" ht="18" customHeight="1" x14ac:dyDescent="0.3">
      <c r="A282" s="8"/>
      <c r="B282" s="9"/>
      <c r="C282" s="9" t="s">
        <v>46</v>
      </c>
      <c r="D282" s="8" t="s">
        <v>47</v>
      </c>
      <c r="E282" s="6">
        <f>VLOOKUP(C282,FeaturePool!$C$528:$F$540,3,FALSE)</f>
        <v>1</v>
      </c>
      <c r="F282" s="19">
        <f>VLOOKUP(C282,FeaturePool!$C:$F,4,FALSE)</f>
        <v>0.14299999999999999</v>
      </c>
      <c r="G282" s="10">
        <v>2</v>
      </c>
      <c r="H282" s="8"/>
    </row>
    <row r="283" spans="1:8" ht="18" customHeight="1" x14ac:dyDescent="0.3">
      <c r="A283" s="6"/>
      <c r="B283" s="5"/>
      <c r="C283" s="18" t="s">
        <v>50</v>
      </c>
      <c r="D283" s="19" t="s">
        <v>51</v>
      </c>
      <c r="E283" s="6">
        <f>VLOOKUP(C283,FeaturePool!$C$528:$F$540,3,FALSE)</f>
        <v>1</v>
      </c>
      <c r="F283" s="6">
        <f>VLOOKUP(C283,FeaturePool!$C:$F,4,FALSE)</f>
        <v>0.125</v>
      </c>
      <c r="G283" s="7">
        <v>3</v>
      </c>
      <c r="H283" s="6"/>
    </row>
    <row r="284" spans="1:8" ht="18" customHeight="1" x14ac:dyDescent="0.3">
      <c r="A284" s="8"/>
      <c r="B284" s="9"/>
      <c r="C284" s="9" t="s">
        <v>41</v>
      </c>
      <c r="D284" s="8" t="s">
        <v>42</v>
      </c>
      <c r="E284" s="6">
        <f>VLOOKUP(C284,FeaturePool!$C$528:$F$540,3,FALSE)</f>
        <v>7</v>
      </c>
      <c r="F284" s="19">
        <f>VLOOKUP(C284,FeaturePool!$C:$F,4,FALSE)</f>
        <v>0.16700000000000001</v>
      </c>
      <c r="G284" s="10">
        <v>4</v>
      </c>
      <c r="H284" s="8"/>
    </row>
    <row r="285" spans="1:8" ht="18" customHeight="1" x14ac:dyDescent="0.3">
      <c r="A285" s="6"/>
      <c r="B285" s="5"/>
      <c r="C285" s="20" t="s">
        <v>330</v>
      </c>
      <c r="D285" s="21" t="s">
        <v>331</v>
      </c>
      <c r="E285" s="6">
        <f>VLOOKUP(C285,FeaturePool!$C$528:$F$540,3,FALSE)</f>
        <v>2</v>
      </c>
      <c r="F285" s="6">
        <f>VLOOKUP(C285,FeaturePool!$C:$F,4,FALSE)</f>
        <v>0.25</v>
      </c>
      <c r="G285" s="7">
        <v>5</v>
      </c>
      <c r="H285" s="6"/>
    </row>
    <row r="286" spans="1:8" ht="18" customHeight="1" x14ac:dyDescent="0.3">
      <c r="A286" s="8"/>
      <c r="B286" s="9"/>
      <c r="C286" s="18" t="s">
        <v>170</v>
      </c>
      <c r="D286" s="19" t="s">
        <v>171</v>
      </c>
      <c r="E286" s="6">
        <f>VLOOKUP(C286,FeaturePool!$C$528:$F$540,3,FALSE)</f>
        <v>1</v>
      </c>
      <c r="F286" s="19">
        <f>VLOOKUP(C286,FeaturePool!$C:$F,4,FALSE)</f>
        <v>0.33300000000000002</v>
      </c>
      <c r="G286" s="10">
        <v>6</v>
      </c>
      <c r="H286" s="8"/>
    </row>
    <row r="287" spans="1:8" ht="18" customHeight="1" x14ac:dyDescent="0.3">
      <c r="A287" s="6"/>
      <c r="B287" s="5"/>
      <c r="C287" s="5" t="s">
        <v>332</v>
      </c>
      <c r="D287" s="6" t="s">
        <v>333</v>
      </c>
      <c r="E287" s="6">
        <f>VLOOKUP(C287,FeaturePool!$C$528:$F$540,3,FALSE)</f>
        <v>2</v>
      </c>
      <c r="F287" s="6">
        <f>VLOOKUP(C287,FeaturePool!$C:$F,4,FALSE)</f>
        <v>0.125</v>
      </c>
      <c r="G287" s="7">
        <v>7</v>
      </c>
      <c r="H287" s="6"/>
    </row>
    <row r="288" spans="1:8" ht="18" customHeight="1" x14ac:dyDescent="0.3">
      <c r="A288" s="8"/>
      <c r="B288" s="9"/>
      <c r="C288" s="20" t="s">
        <v>240</v>
      </c>
      <c r="D288" s="21" t="s">
        <v>241</v>
      </c>
      <c r="E288" s="6">
        <f>VLOOKUP(C288,FeaturePool!$C$528:$F$540,3,FALSE)</f>
        <v>1</v>
      </c>
      <c r="F288" s="19">
        <f>VLOOKUP(C288,FeaturePool!$C:$F,4,FALSE)</f>
        <v>9.0999999999999998E-2</v>
      </c>
      <c r="G288" s="10">
        <v>8</v>
      </c>
      <c r="H288" s="8"/>
    </row>
    <row r="289" spans="1:8" ht="18" customHeight="1" x14ac:dyDescent="0.3">
      <c r="A289" s="6"/>
      <c r="B289" s="5"/>
      <c r="C289" s="18" t="s">
        <v>90</v>
      </c>
      <c r="D289" s="19" t="s">
        <v>91</v>
      </c>
      <c r="E289" s="19">
        <f>VLOOKUP(C289,FeaturePool!$C$528:$F$540,3,FALSE)</f>
        <v>2</v>
      </c>
      <c r="F289" s="6">
        <f>VLOOKUP(C289,FeaturePool!$C:$F,4,FALSE)</f>
        <v>9.0999999999999998E-2</v>
      </c>
      <c r="G289" s="7">
        <v>9</v>
      </c>
      <c r="H289" s="6"/>
    </row>
    <row r="290" spans="1:8" ht="18" customHeight="1" x14ac:dyDescent="0.3">
      <c r="A290" s="8"/>
      <c r="B290" s="9"/>
      <c r="C290" s="9" t="s">
        <v>94</v>
      </c>
      <c r="D290" s="8" t="s">
        <v>95</v>
      </c>
      <c r="E290" s="6">
        <f>VLOOKUP(C290,FeaturePool!$C$528:$F$540,3,FALSE)</f>
        <v>1</v>
      </c>
      <c r="F290" s="19">
        <f>VLOOKUP(C290,FeaturePool!$C:$F,4,FALSE)</f>
        <v>0.1</v>
      </c>
      <c r="G290" s="10">
        <v>10</v>
      </c>
      <c r="H290" s="8"/>
    </row>
    <row r="291" spans="1:8" ht="6" customHeight="1" x14ac:dyDescent="0.3">
      <c r="E291" s="19"/>
      <c r="F291" s="19"/>
    </row>
    <row r="292" spans="1:8" ht="18" customHeight="1" x14ac:dyDescent="0.3">
      <c r="A292" s="4" t="s">
        <v>334</v>
      </c>
      <c r="B292" s="5" t="s">
        <v>335</v>
      </c>
      <c r="C292" s="5" t="s">
        <v>258</v>
      </c>
      <c r="D292" s="6" t="s">
        <v>259</v>
      </c>
      <c r="E292" s="6">
        <f>VLOOKUP(C292,FeaturePool!$C$541:$F$555,3,FALSE)</f>
        <v>4</v>
      </c>
      <c r="F292" s="6">
        <f>VLOOKUP(C292,FeaturePool!$C:$F,4,FALSE)</f>
        <v>0.1</v>
      </c>
      <c r="G292" s="7">
        <v>1</v>
      </c>
      <c r="H292" s="6"/>
    </row>
    <row r="293" spans="1:8" ht="18" customHeight="1" x14ac:dyDescent="0.3">
      <c r="A293" s="8"/>
      <c r="B293" s="9"/>
      <c r="C293" s="18" t="s">
        <v>90</v>
      </c>
      <c r="D293" s="19" t="s">
        <v>91</v>
      </c>
      <c r="E293" s="6">
        <f>VLOOKUP(C293,FeaturePool!$C$541:$F$555,3,FALSE)</f>
        <v>9</v>
      </c>
      <c r="F293" s="19">
        <f>VLOOKUP(C293,FeaturePool!$C:$F,4,FALSE)</f>
        <v>9.0999999999999998E-2</v>
      </c>
      <c r="G293" s="10">
        <v>2</v>
      </c>
      <c r="H293" s="8"/>
    </row>
    <row r="294" spans="1:8" ht="18" customHeight="1" x14ac:dyDescent="0.3">
      <c r="A294" s="6"/>
      <c r="B294" s="5"/>
      <c r="C294" s="20" t="s">
        <v>271</v>
      </c>
      <c r="D294" s="21" t="s">
        <v>272</v>
      </c>
      <c r="E294" s="6">
        <f>VLOOKUP(C294,FeaturePool!$C$541:$F$555,3,FALSE)</f>
        <v>7</v>
      </c>
      <c r="F294" s="6">
        <f>VLOOKUP(C294,FeaturePool!$C:$F,4,FALSE)</f>
        <v>0.33300000000000002</v>
      </c>
      <c r="G294" s="7">
        <v>3</v>
      </c>
      <c r="H294" s="6"/>
    </row>
    <row r="295" spans="1:8" ht="18" customHeight="1" x14ac:dyDescent="0.3">
      <c r="A295" s="8"/>
      <c r="B295" s="9"/>
      <c r="C295" s="18" t="s">
        <v>92</v>
      </c>
      <c r="D295" s="19" t="s">
        <v>93</v>
      </c>
      <c r="E295" s="6">
        <f>VLOOKUP(C295,FeaturePool!$C$541:$F$555,3,FALSE)</f>
        <v>1</v>
      </c>
      <c r="F295" s="19">
        <f>VLOOKUP(C295,FeaturePool!$C:$F,4,FALSE)</f>
        <v>9.0999999999999998E-2</v>
      </c>
      <c r="G295" s="10">
        <v>4</v>
      </c>
      <c r="H295" s="8"/>
    </row>
    <row r="296" spans="1:8" ht="18" customHeight="1" x14ac:dyDescent="0.3">
      <c r="A296" s="6"/>
      <c r="B296" s="5"/>
      <c r="C296" s="20" t="s">
        <v>30</v>
      </c>
      <c r="D296" s="21" t="s">
        <v>31</v>
      </c>
      <c r="E296" s="6">
        <f>VLOOKUP(C296,FeaturePool!$C$541:$F$555,3,FALSE)</f>
        <v>4</v>
      </c>
      <c r="F296" s="6">
        <f>VLOOKUP(C296,FeaturePool!$C:$F,4,FALSE)</f>
        <v>0.2</v>
      </c>
      <c r="G296" s="7">
        <v>5</v>
      </c>
      <c r="H296" s="6"/>
    </row>
    <row r="297" spans="1:8" ht="18" customHeight="1" x14ac:dyDescent="0.3">
      <c r="A297" s="8"/>
      <c r="B297" s="9"/>
      <c r="C297" s="9" t="s">
        <v>234</v>
      </c>
      <c r="D297" s="8" t="s">
        <v>235</v>
      </c>
      <c r="E297" s="6">
        <f>VLOOKUP(C297,FeaturePool!$C$541:$F$555,3,FALSE)</f>
        <v>9</v>
      </c>
      <c r="F297" s="19">
        <f>VLOOKUP(C297,FeaturePool!$C:$F,4,FALSE)</f>
        <v>0.2</v>
      </c>
      <c r="G297" s="10">
        <v>6</v>
      </c>
      <c r="H297" s="8"/>
    </row>
    <row r="298" spans="1:8" ht="18" customHeight="1" x14ac:dyDescent="0.3">
      <c r="A298" s="6"/>
      <c r="B298" s="5"/>
      <c r="C298" s="5" t="s">
        <v>285</v>
      </c>
      <c r="D298" s="6" t="s">
        <v>286</v>
      </c>
      <c r="E298" s="6">
        <f>VLOOKUP(C298,FeaturePool!$C$541:$F$555,3,FALSE)</f>
        <v>2</v>
      </c>
      <c r="F298" s="6">
        <f>VLOOKUP(C298,FeaturePool!$C:$F,4,FALSE)</f>
        <v>0.25</v>
      </c>
      <c r="G298" s="7">
        <v>7</v>
      </c>
      <c r="H298" s="6"/>
    </row>
    <row r="299" spans="1:8" ht="18" customHeight="1" x14ac:dyDescent="0.3">
      <c r="A299" s="8"/>
      <c r="B299" s="9"/>
      <c r="C299" s="18" t="s">
        <v>336</v>
      </c>
      <c r="D299" s="19" t="s">
        <v>337</v>
      </c>
      <c r="E299" s="6">
        <f>VLOOKUP(C299,FeaturePool!$C$541:$F$555,3,FALSE)</f>
        <v>1</v>
      </c>
      <c r="F299" s="19">
        <f>VLOOKUP(C299,FeaturePool!$C:$F,4,FALSE)</f>
        <v>0.111</v>
      </c>
      <c r="G299" s="10">
        <v>8</v>
      </c>
      <c r="H299" s="8"/>
    </row>
    <row r="300" spans="1:8" ht="18" customHeight="1" x14ac:dyDescent="0.3">
      <c r="A300" s="6"/>
      <c r="B300" s="5"/>
      <c r="C300" s="5" t="s">
        <v>23</v>
      </c>
      <c r="D300" s="6" t="s">
        <v>24</v>
      </c>
      <c r="E300" s="6">
        <f>VLOOKUP(C300,FeaturePool!$C$541:$F$555,3,FALSE)</f>
        <v>9</v>
      </c>
      <c r="F300" s="6">
        <f>VLOOKUP(C300,FeaturePool!$C:$F,4,FALSE)</f>
        <v>0.111</v>
      </c>
      <c r="G300" s="7">
        <v>9</v>
      </c>
      <c r="H300" s="6"/>
    </row>
    <row r="301" spans="1:8" ht="18" customHeight="1" x14ac:dyDescent="0.3">
      <c r="A301" s="8"/>
      <c r="B301" s="9"/>
      <c r="C301" s="18" t="s">
        <v>338</v>
      </c>
      <c r="D301" s="19" t="s">
        <v>339</v>
      </c>
      <c r="E301" s="6">
        <f>VLOOKUP(C301,FeaturePool!$C$541:$F$555,3,FALSE)</f>
        <v>1</v>
      </c>
      <c r="F301" s="19">
        <f>VLOOKUP(C301,FeaturePool!$C:$F,4,FALSE)</f>
        <v>0.33300000000000002</v>
      </c>
      <c r="G301" s="10">
        <v>10</v>
      </c>
      <c r="H301" s="8"/>
    </row>
    <row r="302" spans="1:8" ht="6" customHeight="1" x14ac:dyDescent="0.3">
      <c r="E302" s="19"/>
      <c r="F302" s="19"/>
    </row>
    <row r="303" spans="1:8" ht="18" customHeight="1" x14ac:dyDescent="0.3">
      <c r="A303" s="4" t="s">
        <v>340</v>
      </c>
      <c r="B303" s="5" t="s">
        <v>341</v>
      </c>
      <c r="C303" s="18" t="s">
        <v>50</v>
      </c>
      <c r="D303" s="19" t="s">
        <v>51</v>
      </c>
      <c r="E303" s="6">
        <f>VLOOKUP(C304,FeaturePool!$C$556:$F$584,3,FALSE)</f>
        <v>2</v>
      </c>
      <c r="F303" s="6">
        <f>VLOOKUP(C304,FeaturePool!$C:$F,4,FALSE)</f>
        <v>0.25</v>
      </c>
      <c r="G303" s="7">
        <v>1</v>
      </c>
      <c r="H303" s="6"/>
    </row>
    <row r="304" spans="1:8" ht="18" customHeight="1" x14ac:dyDescent="0.3">
      <c r="A304" s="8"/>
      <c r="B304" s="9"/>
      <c r="C304" s="5" t="s">
        <v>58</v>
      </c>
      <c r="D304" s="6" t="s">
        <v>59</v>
      </c>
      <c r="E304" s="6">
        <f>VLOOKUP(C305,FeaturePool!$C$556:$F$584,3,FALSE)</f>
        <v>1</v>
      </c>
      <c r="F304" s="19">
        <f>VLOOKUP(C305,FeaturePool!$C:$F,4,FALSE)</f>
        <v>0.25</v>
      </c>
      <c r="G304" s="10">
        <v>2</v>
      </c>
      <c r="H304" s="8"/>
    </row>
    <row r="305" spans="1:8" ht="18" customHeight="1" x14ac:dyDescent="0.3">
      <c r="A305" s="6"/>
      <c r="B305" s="5"/>
      <c r="C305" s="18" t="s">
        <v>307</v>
      </c>
      <c r="D305" s="19" t="s">
        <v>308</v>
      </c>
      <c r="E305" s="6">
        <f>VLOOKUP(C306,FeaturePool!$C$556:$F$584,3,FALSE)</f>
        <v>5</v>
      </c>
      <c r="F305" s="6">
        <f>VLOOKUP(C306,FeaturePool!$C:$F,4,FALSE)</f>
        <v>0.05</v>
      </c>
      <c r="G305" s="7">
        <v>3</v>
      </c>
      <c r="H305" s="6"/>
    </row>
    <row r="306" spans="1:8" ht="18" customHeight="1" x14ac:dyDescent="0.3">
      <c r="A306" s="8"/>
      <c r="B306" s="9"/>
      <c r="C306" s="20" t="s">
        <v>78</v>
      </c>
      <c r="D306" s="21" t="s">
        <v>79</v>
      </c>
      <c r="E306" s="6">
        <f>VLOOKUP(C307,FeaturePool!$C$556:$F$584,3,FALSE)</f>
        <v>5</v>
      </c>
      <c r="F306" s="19">
        <f>VLOOKUP(C307,FeaturePool!$C:$F,4,FALSE)</f>
        <v>0.2</v>
      </c>
      <c r="G306" s="10">
        <v>4</v>
      </c>
      <c r="H306" s="8"/>
    </row>
    <row r="307" spans="1:8" ht="18" customHeight="1" x14ac:dyDescent="0.3">
      <c r="A307" s="6"/>
      <c r="B307" s="5"/>
      <c r="C307" s="9" t="s">
        <v>74</v>
      </c>
      <c r="D307" s="8" t="s">
        <v>75</v>
      </c>
      <c r="E307" s="6">
        <f>VLOOKUP(C308,FeaturePool!$C$556:$F$584,3,FALSE)</f>
        <v>1</v>
      </c>
      <c r="F307" s="6">
        <f>VLOOKUP(C308,FeaturePool!$C:$F,4,FALSE)</f>
        <v>0.25</v>
      </c>
      <c r="G307" s="7">
        <v>5</v>
      </c>
      <c r="H307" s="6"/>
    </row>
    <row r="308" spans="1:8" ht="18" customHeight="1" x14ac:dyDescent="0.3">
      <c r="A308" s="8"/>
      <c r="B308" s="9"/>
      <c r="C308" s="5" t="s">
        <v>311</v>
      </c>
      <c r="D308" s="6" t="s">
        <v>312</v>
      </c>
      <c r="E308" s="6">
        <f>VLOOKUP(C309,FeaturePool!$C$556:$F$584,3,FALSE)</f>
        <v>2</v>
      </c>
      <c r="F308" s="19">
        <f>VLOOKUP(C309,FeaturePool!$C:$F,4,FALSE)</f>
        <v>0.33300000000000002</v>
      </c>
      <c r="G308" s="10">
        <v>6</v>
      </c>
      <c r="H308" s="8"/>
    </row>
    <row r="309" spans="1:8" ht="18" customHeight="1" x14ac:dyDescent="0.3">
      <c r="A309" s="6"/>
      <c r="B309" s="5"/>
      <c r="C309" s="18" t="s">
        <v>275</v>
      </c>
      <c r="D309" s="19" t="s">
        <v>276</v>
      </c>
      <c r="E309" s="6">
        <f>VLOOKUP(C310,FeaturePool!$C$556:$F$584,3,FALSE)</f>
        <v>1</v>
      </c>
      <c r="F309" s="6">
        <f>VLOOKUP(C310,FeaturePool!$C:$F,4,FALSE)</f>
        <v>0.33300000000000002</v>
      </c>
      <c r="G309" s="7">
        <v>7</v>
      </c>
      <c r="H309" s="6"/>
    </row>
    <row r="310" spans="1:8" ht="18" customHeight="1" x14ac:dyDescent="0.3">
      <c r="A310" s="8"/>
      <c r="B310" s="9"/>
      <c r="C310" s="20" t="s">
        <v>303</v>
      </c>
      <c r="D310" s="21" t="s">
        <v>304</v>
      </c>
      <c r="E310" s="6">
        <f>VLOOKUP(C311,FeaturePool!$C$556:$F$584,3,FALSE)</f>
        <v>3</v>
      </c>
      <c r="F310" s="19">
        <f>VLOOKUP(C311,FeaturePool!$C:$F,4,FALSE)</f>
        <v>0.2</v>
      </c>
      <c r="G310" s="10">
        <v>8</v>
      </c>
      <c r="H310" s="8"/>
    </row>
    <row r="311" spans="1:8" ht="18" customHeight="1" x14ac:dyDescent="0.3">
      <c r="A311" s="6"/>
      <c r="B311" s="5"/>
      <c r="C311" s="18" t="s">
        <v>106</v>
      </c>
      <c r="D311" s="19" t="s">
        <v>107</v>
      </c>
      <c r="E311" s="6">
        <f>VLOOKUP(C312,FeaturePool!$C$556:$F$584,3,FALSE)</f>
        <v>9</v>
      </c>
      <c r="F311" s="6">
        <f>VLOOKUP(C312,FeaturePool!$C:$F,4,FALSE)</f>
        <v>0.16700000000000001</v>
      </c>
      <c r="G311" s="7">
        <v>9</v>
      </c>
      <c r="H311" s="6"/>
    </row>
    <row r="312" spans="1:8" ht="18" customHeight="1" x14ac:dyDescent="0.3">
      <c r="A312" s="8"/>
      <c r="B312" s="9"/>
      <c r="C312" s="5" t="s">
        <v>323</v>
      </c>
      <c r="D312" s="6" t="s">
        <v>324</v>
      </c>
      <c r="E312" s="6">
        <f>VLOOKUP(C303,FeaturePool!$C$556:$F$584,3,FALSE)</f>
        <v>1</v>
      </c>
      <c r="F312" s="19">
        <f>VLOOKUP(C303,FeaturePool!$C:$F,4,FALSE)</f>
        <v>0.125</v>
      </c>
      <c r="G312" s="10">
        <v>10</v>
      </c>
      <c r="H312" s="8"/>
    </row>
    <row r="313" spans="1:8" ht="6" customHeight="1" x14ac:dyDescent="0.3">
      <c r="E313" s="19"/>
      <c r="F313" s="19"/>
    </row>
    <row r="314" spans="1:8" ht="18" customHeight="1" x14ac:dyDescent="0.3">
      <c r="A314" s="4" t="s">
        <v>342</v>
      </c>
      <c r="B314" s="5" t="s">
        <v>343</v>
      </c>
      <c r="C314" s="9" t="s">
        <v>68</v>
      </c>
      <c r="D314" s="8" t="s">
        <v>69</v>
      </c>
      <c r="E314" s="6">
        <f>VLOOKUP(C314,FeaturePool!$C$585:$F$598,3,FALSE)</f>
        <v>1</v>
      </c>
      <c r="F314" s="6">
        <f>VLOOKUP(C314,FeaturePool!$C:$F,4,FALSE)</f>
        <v>0.14299999999999999</v>
      </c>
      <c r="G314" s="7">
        <v>1</v>
      </c>
      <c r="H314" s="6"/>
    </row>
    <row r="315" spans="1:8" ht="18" customHeight="1" x14ac:dyDescent="0.3">
      <c r="A315" s="8"/>
      <c r="B315" s="9"/>
      <c r="C315" s="5" t="s">
        <v>344</v>
      </c>
      <c r="D315" s="6" t="s">
        <v>345</v>
      </c>
      <c r="E315" s="6">
        <f>VLOOKUP(C315,FeaturePool!$C$585:$F$598,3,FALSE)</f>
        <v>3</v>
      </c>
      <c r="F315" s="19">
        <f>VLOOKUP(C315,FeaturePool!$C:$F,4,FALSE)</f>
        <v>0.33300000000000002</v>
      </c>
      <c r="G315" s="10">
        <v>2</v>
      </c>
      <c r="H315" s="8"/>
    </row>
    <row r="316" spans="1:8" ht="18" customHeight="1" x14ac:dyDescent="0.3">
      <c r="A316" s="6"/>
      <c r="B316" s="5"/>
      <c r="C316" s="9" t="s">
        <v>346</v>
      </c>
      <c r="D316" s="8" t="s">
        <v>347</v>
      </c>
      <c r="E316" s="6">
        <f>VLOOKUP(C316,FeaturePool!$C$585:$F$598,3,FALSE)</f>
        <v>3</v>
      </c>
      <c r="F316" s="6">
        <f>VLOOKUP(C316,FeaturePool!$C:$F,4,FALSE)</f>
        <v>0.33300000000000002</v>
      </c>
      <c r="G316" s="7">
        <v>3</v>
      </c>
      <c r="H316" s="6"/>
    </row>
    <row r="317" spans="1:8" ht="18" customHeight="1" x14ac:dyDescent="0.3">
      <c r="A317" s="8"/>
      <c r="B317" s="9"/>
      <c r="C317" s="9" t="s">
        <v>20</v>
      </c>
      <c r="D317" s="8" t="s">
        <v>21</v>
      </c>
      <c r="E317" s="6">
        <f>VLOOKUP(C317,FeaturePool!$C$585:$F$598,3,FALSE)</f>
        <v>2</v>
      </c>
      <c r="F317" s="19">
        <f>VLOOKUP(C317,FeaturePool!$C:$F,4,FALSE)</f>
        <v>0.125</v>
      </c>
      <c r="G317" s="10">
        <v>4</v>
      </c>
      <c r="H317" s="8"/>
    </row>
    <row r="318" spans="1:8" ht="18" customHeight="1" x14ac:dyDescent="0.3">
      <c r="A318" s="6"/>
      <c r="B318" s="5"/>
      <c r="C318" s="9" t="s">
        <v>348</v>
      </c>
      <c r="D318" s="8" t="s">
        <v>349</v>
      </c>
      <c r="E318" s="6">
        <f>VLOOKUP(C318,FeaturePool!$C$585:$F$598,3,FALSE)</f>
        <v>3</v>
      </c>
      <c r="F318" s="6">
        <f>VLOOKUP(C318,FeaturePool!$C:$F,4,FALSE)</f>
        <v>0.33300000000000002</v>
      </c>
      <c r="G318" s="7">
        <v>5</v>
      </c>
      <c r="H318" s="6"/>
    </row>
    <row r="319" spans="1:8" ht="18" customHeight="1" x14ac:dyDescent="0.3">
      <c r="A319" s="8"/>
      <c r="B319" s="9"/>
      <c r="C319" s="9" t="s">
        <v>52</v>
      </c>
      <c r="D319" s="8" t="s">
        <v>53</v>
      </c>
      <c r="E319" s="6">
        <f>VLOOKUP(C319,FeaturePool!$C$585:$F$598,3,FALSE)</f>
        <v>4</v>
      </c>
      <c r="F319" s="19">
        <f>VLOOKUP(C319,FeaturePool!$C:$F,4,FALSE)</f>
        <v>8.3000000000000004E-2</v>
      </c>
      <c r="G319" s="10">
        <v>6</v>
      </c>
      <c r="H319" s="8"/>
    </row>
    <row r="320" spans="1:8" ht="18" customHeight="1" x14ac:dyDescent="0.3">
      <c r="A320" s="6"/>
      <c r="B320" s="5"/>
      <c r="C320" s="5" t="s">
        <v>80</v>
      </c>
      <c r="D320" s="6" t="s">
        <v>81</v>
      </c>
      <c r="E320" s="6">
        <f>VLOOKUP(C320,FeaturePool!$C$585:$F$598,3,FALSE)</f>
        <v>1</v>
      </c>
      <c r="F320" s="6">
        <f>VLOOKUP(C320,FeaturePool!$C:$F,4,FALSE)</f>
        <v>0.25</v>
      </c>
      <c r="G320" s="7">
        <v>7</v>
      </c>
      <c r="H320" s="6"/>
    </row>
    <row r="321" spans="1:8" ht="18" customHeight="1" x14ac:dyDescent="0.3">
      <c r="A321" s="8"/>
      <c r="B321" s="9"/>
      <c r="C321" s="9" t="s">
        <v>350</v>
      </c>
      <c r="D321" s="8" t="s">
        <v>351</v>
      </c>
      <c r="E321" s="6">
        <f>VLOOKUP(C321,FeaturePool!$C$585:$F$598,3,FALSE)</f>
        <v>1</v>
      </c>
      <c r="F321" s="19">
        <f>VLOOKUP(C321,FeaturePool!$C:$F,4,FALSE)</f>
        <v>0.25</v>
      </c>
      <c r="G321" s="10">
        <v>8</v>
      </c>
      <c r="H321" s="8"/>
    </row>
    <row r="322" spans="1:8" ht="18" customHeight="1" x14ac:dyDescent="0.3">
      <c r="A322" s="6"/>
      <c r="B322" s="5"/>
      <c r="C322" s="5" t="s">
        <v>64</v>
      </c>
      <c r="D322" s="6" t="s">
        <v>65</v>
      </c>
      <c r="E322" s="6">
        <f>VLOOKUP(C322,FeaturePool!$C$585:$F$598,3,FALSE)</f>
        <v>1</v>
      </c>
      <c r="F322" s="6">
        <f>VLOOKUP(C322,FeaturePool!$C:$F,4,FALSE)</f>
        <v>0.33300000000000002</v>
      </c>
      <c r="G322" s="7">
        <v>9</v>
      </c>
      <c r="H322" s="6"/>
    </row>
    <row r="323" spans="1:8" ht="18" customHeight="1" x14ac:dyDescent="0.3">
      <c r="A323" s="8"/>
      <c r="B323" s="9"/>
      <c r="C323" s="5" t="s">
        <v>190</v>
      </c>
      <c r="D323" s="6" t="s">
        <v>191</v>
      </c>
      <c r="E323" s="6">
        <f>VLOOKUP(C323,FeaturePool!$C$585:$F$598,3,FALSE)</f>
        <v>3</v>
      </c>
      <c r="F323" s="19">
        <f>VLOOKUP(C323,FeaturePool!$C:$F,4,FALSE)</f>
        <v>0.33300000000000002</v>
      </c>
      <c r="G323" s="10">
        <v>10</v>
      </c>
      <c r="H323" s="8"/>
    </row>
    <row r="324" spans="1:8" ht="6" customHeight="1" x14ac:dyDescent="0.3">
      <c r="E324" s="19"/>
      <c r="F324" s="19"/>
    </row>
    <row r="325" spans="1:8" ht="18" customHeight="1" x14ac:dyDescent="0.3">
      <c r="A325" s="4" t="s">
        <v>352</v>
      </c>
      <c r="B325" s="5" t="s">
        <v>353</v>
      </c>
      <c r="C325" s="18" t="s">
        <v>354</v>
      </c>
      <c r="D325" s="19" t="s">
        <v>355</v>
      </c>
      <c r="E325" s="20">
        <v>6</v>
      </c>
      <c r="F325" s="20">
        <v>0.33300000000000002</v>
      </c>
      <c r="G325" s="7">
        <v>1</v>
      </c>
      <c r="H325" s="6"/>
    </row>
    <row r="326" spans="1:8" ht="18" customHeight="1" x14ac:dyDescent="0.3">
      <c r="A326" s="8"/>
      <c r="B326" s="9"/>
      <c r="C326" s="9" t="s">
        <v>64</v>
      </c>
      <c r="D326" s="8" t="s">
        <v>65</v>
      </c>
      <c r="E326" s="20">
        <v>5</v>
      </c>
      <c r="F326" s="20">
        <v>0.14299999999999999</v>
      </c>
      <c r="G326" s="10">
        <v>2</v>
      </c>
      <c r="H326" s="8"/>
    </row>
    <row r="327" spans="1:8" ht="18" customHeight="1" x14ac:dyDescent="0.3">
      <c r="A327" s="6"/>
      <c r="B327" s="5"/>
      <c r="C327" s="18" t="s">
        <v>200</v>
      </c>
      <c r="D327" s="19" t="s">
        <v>201</v>
      </c>
      <c r="E327" s="20">
        <v>4</v>
      </c>
      <c r="F327" s="20">
        <v>0.05</v>
      </c>
      <c r="G327" s="7">
        <v>3</v>
      </c>
      <c r="H327" s="6"/>
    </row>
    <row r="328" spans="1:8" ht="18" customHeight="1" x14ac:dyDescent="0.3">
      <c r="A328" s="8"/>
      <c r="B328" s="9"/>
      <c r="C328" s="9" t="s">
        <v>72</v>
      </c>
      <c r="D328" s="8" t="s">
        <v>73</v>
      </c>
      <c r="E328" s="20">
        <v>3</v>
      </c>
      <c r="F328" s="20">
        <v>0.25</v>
      </c>
      <c r="G328" s="10">
        <v>4</v>
      </c>
      <c r="H328" s="8"/>
    </row>
    <row r="329" spans="1:8" ht="18" customHeight="1" x14ac:dyDescent="0.3">
      <c r="A329" s="6"/>
      <c r="B329" s="5"/>
      <c r="C329" s="20" t="s">
        <v>68</v>
      </c>
      <c r="D329" s="21" t="s">
        <v>69</v>
      </c>
      <c r="E329" s="18">
        <v>3</v>
      </c>
      <c r="F329" s="18">
        <v>0.2</v>
      </c>
      <c r="G329" s="7">
        <v>5</v>
      </c>
      <c r="H329" s="6"/>
    </row>
    <row r="330" spans="1:8" ht="18" customHeight="1" x14ac:dyDescent="0.3">
      <c r="A330" s="8"/>
      <c r="B330" s="9"/>
      <c r="C330" s="20" t="s">
        <v>78</v>
      </c>
      <c r="D330" s="21" t="s">
        <v>79</v>
      </c>
      <c r="E330" s="18">
        <v>17</v>
      </c>
      <c r="F330" s="18">
        <v>0.16700000000000001</v>
      </c>
      <c r="G330" s="10">
        <v>6</v>
      </c>
      <c r="H330" s="8"/>
    </row>
    <row r="331" spans="1:8" ht="18" customHeight="1" x14ac:dyDescent="0.3">
      <c r="A331" s="6"/>
      <c r="B331" s="5"/>
      <c r="C331" s="20" t="s">
        <v>198</v>
      </c>
      <c r="D331" s="21" t="s">
        <v>199</v>
      </c>
      <c r="E331" s="20">
        <v>2</v>
      </c>
      <c r="F331" s="20">
        <v>0.33300000000000002</v>
      </c>
      <c r="G331" s="7">
        <v>7</v>
      </c>
      <c r="H331" s="6"/>
    </row>
    <row r="332" spans="1:8" ht="18" customHeight="1" x14ac:dyDescent="0.3">
      <c r="A332" s="8"/>
      <c r="B332" s="9"/>
      <c r="C332" s="9" t="s">
        <v>156</v>
      </c>
      <c r="D332" s="8" t="s">
        <v>157</v>
      </c>
      <c r="E332" s="20">
        <v>2</v>
      </c>
      <c r="F332" s="20">
        <v>0.2</v>
      </c>
      <c r="G332" s="10">
        <v>8</v>
      </c>
      <c r="H332" s="8"/>
    </row>
    <row r="333" spans="1:8" ht="18" customHeight="1" x14ac:dyDescent="0.3">
      <c r="A333" s="6"/>
      <c r="B333" s="5"/>
      <c r="C333" s="18" t="s">
        <v>74</v>
      </c>
      <c r="D333" s="19" t="s">
        <v>75</v>
      </c>
      <c r="E333" s="20">
        <v>8</v>
      </c>
      <c r="F333" s="20">
        <v>0.33300000000000002</v>
      </c>
      <c r="G333" s="7">
        <v>9</v>
      </c>
      <c r="H333" s="6"/>
    </row>
    <row r="334" spans="1:8" ht="18" customHeight="1" x14ac:dyDescent="0.3">
      <c r="A334" s="8"/>
      <c r="B334" s="9"/>
      <c r="C334" s="20" t="s">
        <v>76</v>
      </c>
      <c r="D334" s="21" t="s">
        <v>77</v>
      </c>
      <c r="E334" s="18">
        <v>5</v>
      </c>
      <c r="F334" s="18">
        <v>0.33300000000000002</v>
      </c>
      <c r="G334" s="10">
        <v>10</v>
      </c>
      <c r="H334" s="8"/>
    </row>
    <row r="335" spans="1:8" ht="6" customHeight="1" x14ac:dyDescent="0.3"/>
  </sheetData>
  <mergeCells count="2">
    <mergeCell ref="A2:H2"/>
    <mergeCell ref="A3:H3"/>
  </mergeCells>
  <conditionalFormatting sqref="A50:B50 A58:B58">
    <cfRule type="expression" dxfId="14" priority="22">
      <formula>AND(#REF!&lt;&gt;"", #REF!&lt;&gt;"")</formula>
    </cfRule>
  </conditionalFormatting>
  <conditionalFormatting sqref="A123:B123 G123:H123">
    <cfRule type="expression" dxfId="13" priority="29">
      <formula>AND(#REF!&lt;&gt;"", #REF!&lt;&gt;"")</formula>
    </cfRule>
  </conditionalFormatting>
  <conditionalFormatting sqref="A312:B312 E312:H312">
    <cfRule type="expression" dxfId="12" priority="34">
      <formula>AND($D303&lt;&gt;"", $C303&lt;&gt;"")</formula>
    </cfRule>
  </conditionalFormatting>
  <conditionalFormatting sqref="A53:C53 G53:H53">
    <cfRule type="expression" dxfId="11" priority="13">
      <formula>AND($D54&lt;&gt;"", $C53&lt;&gt;"")</formula>
    </cfRule>
  </conditionalFormatting>
  <conditionalFormatting sqref="A124:D302">
    <cfRule type="expression" dxfId="10" priority="1">
      <formula>AND($D124&lt;&gt;"", $C124&lt;&gt;"")</formula>
    </cfRule>
  </conditionalFormatting>
  <conditionalFormatting sqref="A6:H6 A7:D49 G7:H49 E7:F115 C50:D50 A51:D52 G51:H52 A55:C56 G55:H57 A57:D57 C58:D58 A59:D115 G59:H115 C117:D123 G124:H125 E126:H302 C233:F235 C303:D312 A313:H335">
    <cfRule type="expression" dxfId="9" priority="4">
      <formula>AND($D6&lt;&gt;"", $C6&lt;&gt;"")</formula>
    </cfRule>
  </conditionalFormatting>
  <conditionalFormatting sqref="D53 A54:C54 G54:H54">
    <cfRule type="expression" dxfId="8" priority="11">
      <formula>AND($D52&lt;&gt;"", $C53&lt;&gt;"")</formula>
    </cfRule>
  </conditionalFormatting>
  <conditionalFormatting sqref="D53">
    <cfRule type="expression" dxfId="7" priority="10">
      <formula>AND($D53&lt;&gt;"", $C54&lt;&gt;"")</formula>
    </cfRule>
  </conditionalFormatting>
  <conditionalFormatting sqref="D54:D56">
    <cfRule type="expression" dxfId="6" priority="8">
      <formula>AND($J55&lt;&gt;"", $C54&lt;&gt;"")</formula>
    </cfRule>
    <cfRule type="expression" dxfId="5" priority="12">
      <formula>AND($D54&lt;&gt;"", $C53&lt;&gt;"")</formula>
    </cfRule>
  </conditionalFormatting>
  <conditionalFormatting sqref="E116:H116 A116:B122 G117:H122 E117:F125 A303:B311 E303:H311">
    <cfRule type="expression" dxfId="4" priority="28">
      <formula>AND($D117&lt;&gt;"", $C117&lt;&gt;"")</formula>
    </cfRule>
  </conditionalFormatting>
  <conditionalFormatting sqref="G50:H50">
    <cfRule type="expression" dxfId="3" priority="26">
      <formula>AND($D58&lt;&gt;"", $C58&lt;&gt;"")</formula>
    </cfRule>
  </conditionalFormatting>
  <conditionalFormatting sqref="G58:H58">
    <cfRule type="expression" dxfId="2" priority="19">
      <formula>AND($D50&lt;&gt;"", $C50&lt;&gt;"")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0808D"/>
  </sheetPr>
  <dimension ref="A1:H622"/>
  <sheetViews>
    <sheetView zoomScaleNormal="100" workbookViewId="0">
      <pane ySplit="5" topLeftCell="A372" activePane="bottomLeft" state="frozen"/>
      <selection pane="bottomLeft" activeCell="C333" sqref="C333"/>
    </sheetView>
  </sheetViews>
  <sheetFormatPr defaultColWidth="8.6640625" defaultRowHeight="15" customHeight="1" x14ac:dyDescent="0.3"/>
  <cols>
    <col min="1" max="1" width="16" customWidth="1"/>
    <col min="2" max="3" width="13" customWidth="1"/>
    <col min="4" max="4" width="26" customWidth="1"/>
    <col min="5" max="5" width="28.44140625" customWidth="1"/>
    <col min="6" max="7" width="22.109375" customWidth="1"/>
    <col min="8" max="8" width="10" customWidth="1"/>
  </cols>
  <sheetData>
    <row r="1" spans="1:8" ht="7.5" customHeight="1" x14ac:dyDescent="0.3"/>
    <row r="2" spans="1:8" ht="30" customHeight="1" x14ac:dyDescent="0.3">
      <c r="A2" s="40" t="s">
        <v>356</v>
      </c>
      <c r="B2" s="40"/>
      <c r="C2" s="40"/>
      <c r="D2" s="40"/>
      <c r="E2" s="40"/>
      <c r="F2" s="40"/>
      <c r="G2" s="40"/>
      <c r="H2" s="40"/>
    </row>
    <row r="3" spans="1:8" ht="18" customHeight="1" x14ac:dyDescent="0.3">
      <c r="A3" s="41" t="s">
        <v>357</v>
      </c>
      <c r="B3" s="41"/>
      <c r="C3" s="41"/>
      <c r="D3" s="41"/>
      <c r="E3" s="41"/>
      <c r="F3" s="41"/>
      <c r="G3" s="41"/>
      <c r="H3" s="41"/>
    </row>
    <row r="4" spans="1:8" ht="7.5" customHeight="1" x14ac:dyDescent="0.3"/>
    <row r="5" spans="1:8" ht="14.4" x14ac:dyDescent="0.3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358</v>
      </c>
      <c r="H5" s="3" t="s">
        <v>359</v>
      </c>
    </row>
    <row r="6" spans="1:8" ht="15.75" customHeight="1" x14ac:dyDescent="0.3">
      <c r="A6" s="6" t="s">
        <v>13</v>
      </c>
      <c r="B6" s="5" t="s">
        <v>14</v>
      </c>
      <c r="C6" s="5" t="s">
        <v>20</v>
      </c>
      <c r="D6" s="6" t="s">
        <v>21</v>
      </c>
      <c r="E6" s="5">
        <v>15</v>
      </c>
      <c r="F6" s="5">
        <v>0.125</v>
      </c>
      <c r="G6" s="5">
        <v>1</v>
      </c>
      <c r="H6" s="5">
        <v>0.40500000000000003</v>
      </c>
    </row>
    <row r="7" spans="1:8" ht="15.75" customHeight="1" x14ac:dyDescent="0.3">
      <c r="A7" s="8" t="s">
        <v>13</v>
      </c>
      <c r="B7" s="9" t="s">
        <v>14</v>
      </c>
      <c r="C7" s="9" t="s">
        <v>26</v>
      </c>
      <c r="D7" s="8" t="s">
        <v>27</v>
      </c>
      <c r="E7" s="9">
        <v>12</v>
      </c>
      <c r="F7" s="9">
        <v>0.25</v>
      </c>
      <c r="G7" s="9">
        <v>2</v>
      </c>
      <c r="H7" s="9">
        <v>0.32400000000000001</v>
      </c>
    </row>
    <row r="8" spans="1:8" ht="15.75" customHeight="1" x14ac:dyDescent="0.3">
      <c r="A8" s="6" t="s">
        <v>13</v>
      </c>
      <c r="B8" s="5" t="s">
        <v>14</v>
      </c>
      <c r="C8" s="5" t="s">
        <v>23</v>
      </c>
      <c r="D8" s="6" t="s">
        <v>24</v>
      </c>
      <c r="E8" s="5">
        <v>13</v>
      </c>
      <c r="F8" s="5">
        <v>0.111</v>
      </c>
      <c r="G8" s="5">
        <v>3</v>
      </c>
      <c r="H8" s="5">
        <v>0.42299999999999999</v>
      </c>
    </row>
    <row r="9" spans="1:8" ht="15.75" customHeight="1" x14ac:dyDescent="0.3">
      <c r="A9" s="8" t="s">
        <v>13</v>
      </c>
      <c r="B9" s="9" t="s">
        <v>14</v>
      </c>
      <c r="C9" s="9" t="s">
        <v>34</v>
      </c>
      <c r="D9" s="8" t="s">
        <v>35</v>
      </c>
      <c r="E9" s="9">
        <v>11</v>
      </c>
      <c r="F9" s="9">
        <v>0.2</v>
      </c>
      <c r="G9" s="9">
        <v>3</v>
      </c>
      <c r="H9" s="9">
        <v>0.64700000000000002</v>
      </c>
    </row>
    <row r="10" spans="1:8" ht="15.75" customHeight="1" x14ac:dyDescent="0.3">
      <c r="A10" s="6" t="s">
        <v>13</v>
      </c>
      <c r="B10" s="5" t="s">
        <v>14</v>
      </c>
      <c r="C10" s="5" t="s">
        <v>37</v>
      </c>
      <c r="D10" s="6" t="s">
        <v>38</v>
      </c>
      <c r="E10" s="5">
        <v>7</v>
      </c>
      <c r="F10" s="5">
        <v>0.2</v>
      </c>
      <c r="G10" s="5">
        <v>6</v>
      </c>
      <c r="H10" s="5">
        <v>0.26900000000000002</v>
      </c>
    </row>
    <row r="11" spans="1:8" ht="15.75" customHeight="1" x14ac:dyDescent="0.3">
      <c r="A11" s="8" t="s">
        <v>13</v>
      </c>
      <c r="B11" s="9" t="s">
        <v>14</v>
      </c>
      <c r="C11" s="9" t="s">
        <v>360</v>
      </c>
      <c r="D11" s="8" t="s">
        <v>361</v>
      </c>
      <c r="E11" s="9">
        <v>7</v>
      </c>
      <c r="F11" s="9">
        <v>0.2</v>
      </c>
      <c r="G11" s="9">
        <v>6</v>
      </c>
      <c r="H11" s="9">
        <v>0.23300000000000001</v>
      </c>
    </row>
    <row r="12" spans="1:8" ht="15.75" customHeight="1" x14ac:dyDescent="0.3">
      <c r="A12" s="6" t="s">
        <v>13</v>
      </c>
      <c r="B12" s="5" t="s">
        <v>14</v>
      </c>
      <c r="C12" s="5" t="s">
        <v>15</v>
      </c>
      <c r="D12" s="6" t="s">
        <v>16</v>
      </c>
      <c r="E12" s="5">
        <v>6</v>
      </c>
      <c r="F12" s="5">
        <v>0.125</v>
      </c>
      <c r="G12" s="5">
        <v>7</v>
      </c>
      <c r="H12" s="5">
        <v>8.7999999999999995E-2</v>
      </c>
    </row>
    <row r="13" spans="1:8" ht="15.75" customHeight="1" x14ac:dyDescent="0.3">
      <c r="A13" s="8" t="s">
        <v>13</v>
      </c>
      <c r="B13" s="9" t="s">
        <v>14</v>
      </c>
      <c r="C13" s="9" t="s">
        <v>136</v>
      </c>
      <c r="D13" s="8" t="s">
        <v>137</v>
      </c>
      <c r="E13" s="9">
        <v>5</v>
      </c>
      <c r="F13" s="9">
        <v>0.16700000000000001</v>
      </c>
      <c r="G13" s="9">
        <v>8</v>
      </c>
      <c r="H13" s="9">
        <v>0.17899999999999999</v>
      </c>
    </row>
    <row r="14" spans="1:8" ht="15.75" customHeight="1" x14ac:dyDescent="0.3">
      <c r="A14" s="6" t="s">
        <v>13</v>
      </c>
      <c r="B14" s="5" t="s">
        <v>14</v>
      </c>
      <c r="C14" s="5" t="s">
        <v>152</v>
      </c>
      <c r="D14" s="6" t="s">
        <v>153</v>
      </c>
      <c r="E14" s="5">
        <v>4</v>
      </c>
      <c r="F14" s="5">
        <v>0.33300000000000002</v>
      </c>
      <c r="G14" s="5">
        <v>9</v>
      </c>
      <c r="H14" s="5">
        <v>0.5</v>
      </c>
    </row>
    <row r="15" spans="1:8" ht="15.75" customHeight="1" x14ac:dyDescent="0.3">
      <c r="A15" s="8" t="s">
        <v>13</v>
      </c>
      <c r="B15" s="9" t="s">
        <v>14</v>
      </c>
      <c r="C15" s="9" t="s">
        <v>140</v>
      </c>
      <c r="D15" s="8" t="s">
        <v>141</v>
      </c>
      <c r="E15" s="9">
        <v>5</v>
      </c>
      <c r="F15" s="9">
        <v>0.33300000000000002</v>
      </c>
      <c r="G15" s="9">
        <v>10</v>
      </c>
      <c r="H15" s="9">
        <v>0.15</v>
      </c>
    </row>
    <row r="16" spans="1:8" ht="15.75" customHeight="1" x14ac:dyDescent="0.3">
      <c r="A16" s="6" t="s">
        <v>13</v>
      </c>
      <c r="B16" s="5" t="s">
        <v>14</v>
      </c>
      <c r="C16" s="5" t="s">
        <v>92</v>
      </c>
      <c r="D16" s="6" t="s">
        <v>93</v>
      </c>
      <c r="E16" s="5">
        <v>2</v>
      </c>
      <c r="F16" s="5">
        <v>9.0999999999999998E-2</v>
      </c>
      <c r="G16" s="5">
        <v>11</v>
      </c>
      <c r="H16" s="5">
        <v>7.6999999999999999E-2</v>
      </c>
    </row>
    <row r="17" spans="1:8" ht="15.75" customHeight="1" x14ac:dyDescent="0.3">
      <c r="A17" s="8" t="s">
        <v>13</v>
      </c>
      <c r="B17" s="9" t="s">
        <v>14</v>
      </c>
      <c r="C17" s="9" t="s">
        <v>18</v>
      </c>
      <c r="D17" s="8" t="s">
        <v>19</v>
      </c>
      <c r="E17" s="9">
        <v>2</v>
      </c>
      <c r="F17" s="9">
        <v>0.111</v>
      </c>
      <c r="G17" s="9">
        <v>11</v>
      </c>
      <c r="H17" s="9">
        <v>0.11799999999999999</v>
      </c>
    </row>
    <row r="18" spans="1:8" ht="15.75" customHeight="1" x14ac:dyDescent="0.3">
      <c r="A18" s="6" t="s">
        <v>13</v>
      </c>
      <c r="B18" s="5" t="s">
        <v>14</v>
      </c>
      <c r="C18" s="5" t="s">
        <v>28</v>
      </c>
      <c r="D18" s="6" t="s">
        <v>29</v>
      </c>
      <c r="E18" s="5">
        <v>2</v>
      </c>
      <c r="F18" s="5">
        <v>0.2</v>
      </c>
      <c r="G18" s="5">
        <v>11</v>
      </c>
      <c r="H18" s="5">
        <v>0.25</v>
      </c>
    </row>
    <row r="19" spans="1:8" ht="15.75" customHeight="1" x14ac:dyDescent="0.3">
      <c r="A19" s="8" t="s">
        <v>13</v>
      </c>
      <c r="B19" s="9" t="s">
        <v>14</v>
      </c>
      <c r="C19" s="9" t="s">
        <v>30</v>
      </c>
      <c r="D19" s="8" t="s">
        <v>31</v>
      </c>
      <c r="E19" s="9">
        <v>2</v>
      </c>
      <c r="F19" s="9">
        <v>0.2</v>
      </c>
      <c r="G19" s="9">
        <v>11</v>
      </c>
      <c r="H19" s="9">
        <v>0.25</v>
      </c>
    </row>
    <row r="20" spans="1:8" ht="15.75" customHeight="1" x14ac:dyDescent="0.3">
      <c r="A20" s="6" t="s">
        <v>13</v>
      </c>
      <c r="B20" s="5" t="s">
        <v>14</v>
      </c>
      <c r="C20" s="5" t="s">
        <v>362</v>
      </c>
      <c r="D20" s="6" t="s">
        <v>363</v>
      </c>
      <c r="E20" s="5">
        <v>2</v>
      </c>
      <c r="F20" s="5">
        <v>0.16700000000000001</v>
      </c>
      <c r="G20" s="5">
        <v>11</v>
      </c>
      <c r="H20" s="5">
        <v>0.14299999999999999</v>
      </c>
    </row>
    <row r="21" spans="1:8" ht="15.75" customHeight="1" x14ac:dyDescent="0.3">
      <c r="A21" s="8" t="s">
        <v>13</v>
      </c>
      <c r="B21" s="9" t="s">
        <v>14</v>
      </c>
      <c r="C21" s="9" t="s">
        <v>32</v>
      </c>
      <c r="D21" s="8" t="s">
        <v>33</v>
      </c>
      <c r="E21" s="9">
        <v>2</v>
      </c>
      <c r="F21" s="9">
        <v>9.0999999999999998E-2</v>
      </c>
      <c r="G21" s="9">
        <v>11</v>
      </c>
      <c r="H21" s="9">
        <v>0.1</v>
      </c>
    </row>
    <row r="22" spans="1:8" ht="15.75" customHeight="1" x14ac:dyDescent="0.3">
      <c r="A22" s="6" t="s">
        <v>13</v>
      </c>
      <c r="B22" s="5" t="s">
        <v>14</v>
      </c>
      <c r="C22" s="5" t="s">
        <v>364</v>
      </c>
      <c r="D22" s="6" t="s">
        <v>365</v>
      </c>
      <c r="E22" s="5">
        <v>1</v>
      </c>
      <c r="F22" s="5">
        <v>0.33300000000000002</v>
      </c>
      <c r="G22" s="5">
        <v>12</v>
      </c>
      <c r="H22" s="5">
        <v>0.25</v>
      </c>
    </row>
    <row r="23" spans="1:8" ht="15.75" customHeight="1" x14ac:dyDescent="0.3">
      <c r="A23" s="8" t="s">
        <v>13</v>
      </c>
      <c r="B23" s="9" t="s">
        <v>14</v>
      </c>
      <c r="C23" s="9" t="s">
        <v>46</v>
      </c>
      <c r="D23" s="8" t="s">
        <v>47</v>
      </c>
      <c r="E23" s="9">
        <v>1</v>
      </c>
      <c r="F23" s="9">
        <v>0.14299999999999999</v>
      </c>
      <c r="G23" s="9">
        <v>12</v>
      </c>
      <c r="H23" s="9">
        <v>0.05</v>
      </c>
    </row>
    <row r="24" spans="1:8" ht="15.75" customHeight="1" x14ac:dyDescent="0.3">
      <c r="A24" s="6" t="s">
        <v>13</v>
      </c>
      <c r="B24" s="5" t="s">
        <v>14</v>
      </c>
      <c r="C24" s="5" t="s">
        <v>88</v>
      </c>
      <c r="D24" s="6" t="s">
        <v>89</v>
      </c>
      <c r="E24" s="5">
        <v>1</v>
      </c>
      <c r="F24" s="5">
        <v>0.1</v>
      </c>
      <c r="G24" s="5">
        <v>12</v>
      </c>
      <c r="H24" s="5">
        <v>4.4999999999999998E-2</v>
      </c>
    </row>
    <row r="25" spans="1:8" ht="15.75" customHeight="1" x14ac:dyDescent="0.3">
      <c r="A25" s="8" t="s">
        <v>13</v>
      </c>
      <c r="B25" s="9" t="s">
        <v>14</v>
      </c>
      <c r="C25" s="9" t="s">
        <v>366</v>
      </c>
      <c r="D25" s="8" t="s">
        <v>367</v>
      </c>
      <c r="E25" s="9">
        <v>1</v>
      </c>
      <c r="F25" s="9">
        <v>0.33300000000000002</v>
      </c>
      <c r="G25" s="9">
        <v>12</v>
      </c>
      <c r="H25" s="9">
        <v>0.25</v>
      </c>
    </row>
    <row r="26" spans="1:8" ht="15.75" customHeight="1" x14ac:dyDescent="0.3">
      <c r="A26" s="6" t="s">
        <v>13</v>
      </c>
      <c r="B26" s="5" t="s">
        <v>14</v>
      </c>
      <c r="C26" s="5" t="s">
        <v>96</v>
      </c>
      <c r="D26" s="6" t="s">
        <v>97</v>
      </c>
      <c r="E26" s="5">
        <v>1</v>
      </c>
      <c r="F26" s="5">
        <v>0.2</v>
      </c>
      <c r="G26" s="5">
        <v>12</v>
      </c>
      <c r="H26" s="5">
        <v>7.0999999999999994E-2</v>
      </c>
    </row>
    <row r="27" spans="1:8" ht="15.75" customHeight="1" x14ac:dyDescent="0.3">
      <c r="A27" s="6" t="s">
        <v>39</v>
      </c>
      <c r="B27" s="5" t="s">
        <v>40</v>
      </c>
      <c r="C27" s="5" t="s">
        <v>43</v>
      </c>
      <c r="D27" s="6" t="s">
        <v>44</v>
      </c>
      <c r="E27" s="5">
        <v>12</v>
      </c>
      <c r="F27" s="5">
        <v>0.33300000000000002</v>
      </c>
      <c r="G27" s="5">
        <v>2</v>
      </c>
      <c r="H27" s="5">
        <v>0.4</v>
      </c>
    </row>
    <row r="28" spans="1:8" ht="15.75" customHeight="1" x14ac:dyDescent="0.3">
      <c r="A28" s="8" t="s">
        <v>39</v>
      </c>
      <c r="B28" s="9" t="s">
        <v>40</v>
      </c>
      <c r="C28" s="9" t="s">
        <v>41</v>
      </c>
      <c r="D28" s="8" t="s">
        <v>42</v>
      </c>
      <c r="E28" s="9">
        <v>9</v>
      </c>
      <c r="F28" s="9">
        <v>0.16700000000000001</v>
      </c>
      <c r="G28" s="9">
        <v>3</v>
      </c>
      <c r="H28" s="9">
        <v>0.34599999999999997</v>
      </c>
    </row>
    <row r="29" spans="1:8" ht="15.75" customHeight="1" x14ac:dyDescent="0.3">
      <c r="A29" s="6" t="s">
        <v>39</v>
      </c>
      <c r="B29" s="5" t="s">
        <v>40</v>
      </c>
      <c r="C29" s="5" t="s">
        <v>48</v>
      </c>
      <c r="D29" s="6" t="s">
        <v>49</v>
      </c>
      <c r="E29" s="5">
        <v>11</v>
      </c>
      <c r="F29" s="5">
        <v>0.33300000000000002</v>
      </c>
      <c r="G29" s="5">
        <v>3</v>
      </c>
      <c r="H29" s="5">
        <v>0.69199999999999995</v>
      </c>
    </row>
    <row r="30" spans="1:8" ht="15.75" customHeight="1" x14ac:dyDescent="0.3">
      <c r="A30" s="8" t="s">
        <v>39</v>
      </c>
      <c r="B30" s="9" t="s">
        <v>40</v>
      </c>
      <c r="C30" s="9" t="s">
        <v>60</v>
      </c>
      <c r="D30" s="8" t="s">
        <v>61</v>
      </c>
      <c r="E30" s="9">
        <v>11</v>
      </c>
      <c r="F30" s="9">
        <v>0.25</v>
      </c>
      <c r="G30" s="9">
        <v>4</v>
      </c>
      <c r="H30" s="9">
        <v>0.66700000000000004</v>
      </c>
    </row>
    <row r="31" spans="1:8" ht="15.75" customHeight="1" x14ac:dyDescent="0.3">
      <c r="A31" s="6" t="s">
        <v>39</v>
      </c>
      <c r="B31" s="5" t="s">
        <v>40</v>
      </c>
      <c r="C31" s="5" t="s">
        <v>52</v>
      </c>
      <c r="D31" s="6" t="s">
        <v>53</v>
      </c>
      <c r="E31" s="5">
        <v>7</v>
      </c>
      <c r="F31" s="5">
        <v>8.3000000000000004E-2</v>
      </c>
      <c r="G31" s="5">
        <v>4</v>
      </c>
      <c r="H31" s="5">
        <v>0.13300000000000001</v>
      </c>
    </row>
    <row r="32" spans="1:8" ht="15.75" customHeight="1" x14ac:dyDescent="0.3">
      <c r="A32" s="8" t="s">
        <v>39</v>
      </c>
      <c r="B32" s="9" t="s">
        <v>40</v>
      </c>
      <c r="C32" s="9" t="s">
        <v>54</v>
      </c>
      <c r="D32" s="8" t="s">
        <v>55</v>
      </c>
      <c r="E32" s="9">
        <v>5</v>
      </c>
      <c r="F32" s="9">
        <v>0.25</v>
      </c>
      <c r="G32" s="9">
        <v>5</v>
      </c>
      <c r="H32" s="9">
        <v>0.22700000000000001</v>
      </c>
    </row>
    <row r="33" spans="1:8" ht="15.75" customHeight="1" x14ac:dyDescent="0.3">
      <c r="A33" s="6" t="s">
        <v>39</v>
      </c>
      <c r="B33" s="5" t="s">
        <v>40</v>
      </c>
      <c r="C33" s="5" t="s">
        <v>50</v>
      </c>
      <c r="D33" s="6" t="s">
        <v>51</v>
      </c>
      <c r="E33" s="5">
        <v>5</v>
      </c>
      <c r="F33" s="5">
        <v>0.125</v>
      </c>
      <c r="G33" s="5">
        <v>5</v>
      </c>
      <c r="H33" s="5">
        <v>0.312</v>
      </c>
    </row>
    <row r="34" spans="1:8" ht="15.75" customHeight="1" x14ac:dyDescent="0.3">
      <c r="A34" s="8" t="s">
        <v>39</v>
      </c>
      <c r="B34" s="9" t="s">
        <v>40</v>
      </c>
      <c r="C34" s="9" t="s">
        <v>46</v>
      </c>
      <c r="D34" s="8" t="s">
        <v>47</v>
      </c>
      <c r="E34" s="9">
        <v>3</v>
      </c>
      <c r="F34" s="9">
        <v>0.14299999999999999</v>
      </c>
      <c r="G34" s="9">
        <v>6</v>
      </c>
      <c r="H34" s="9">
        <v>0.15</v>
      </c>
    </row>
    <row r="35" spans="1:8" ht="15.75" customHeight="1" x14ac:dyDescent="0.3">
      <c r="A35" s="6" t="s">
        <v>39</v>
      </c>
      <c r="B35" s="5" t="s">
        <v>40</v>
      </c>
      <c r="C35" s="5" t="s">
        <v>368</v>
      </c>
      <c r="D35" s="6" t="s">
        <v>369</v>
      </c>
      <c r="E35" s="5">
        <v>3</v>
      </c>
      <c r="F35" s="5">
        <v>0.33300000000000002</v>
      </c>
      <c r="G35" s="5">
        <v>6</v>
      </c>
      <c r="H35" s="5">
        <v>0.42899999999999999</v>
      </c>
    </row>
    <row r="36" spans="1:8" ht="15.75" customHeight="1" x14ac:dyDescent="0.3">
      <c r="A36" s="8" t="s">
        <v>39</v>
      </c>
      <c r="B36" s="9" t="s">
        <v>40</v>
      </c>
      <c r="C36" s="9" t="s">
        <v>56</v>
      </c>
      <c r="D36" s="8" t="s">
        <v>57</v>
      </c>
      <c r="E36" s="9">
        <v>3</v>
      </c>
      <c r="F36" s="9">
        <v>0.2</v>
      </c>
      <c r="G36" s="9">
        <v>6</v>
      </c>
      <c r="H36" s="9">
        <v>0.13</v>
      </c>
    </row>
    <row r="37" spans="1:8" ht="15.75" customHeight="1" x14ac:dyDescent="0.3">
      <c r="A37" s="6" t="s">
        <v>39</v>
      </c>
      <c r="B37" s="5" t="s">
        <v>40</v>
      </c>
      <c r="C37" s="5" t="s">
        <v>283</v>
      </c>
      <c r="D37" s="6" t="s">
        <v>284</v>
      </c>
      <c r="E37" s="5">
        <v>2</v>
      </c>
      <c r="F37" s="5">
        <v>0.33300000000000002</v>
      </c>
      <c r="G37" s="5">
        <v>7</v>
      </c>
      <c r="H37" s="5">
        <v>0.222</v>
      </c>
    </row>
    <row r="38" spans="1:8" ht="15.75" customHeight="1" x14ac:dyDescent="0.3">
      <c r="A38" s="8" t="s">
        <v>39</v>
      </c>
      <c r="B38" s="9" t="s">
        <v>40</v>
      </c>
      <c r="C38" s="9" t="s">
        <v>58</v>
      </c>
      <c r="D38" s="8" t="s">
        <v>59</v>
      </c>
      <c r="E38" s="9">
        <v>2</v>
      </c>
      <c r="F38" s="9">
        <v>0.25</v>
      </c>
      <c r="G38" s="9">
        <v>7</v>
      </c>
      <c r="H38" s="9">
        <v>0.222</v>
      </c>
    </row>
    <row r="39" spans="1:8" ht="15.75" customHeight="1" x14ac:dyDescent="0.3">
      <c r="A39" s="6" t="s">
        <v>39</v>
      </c>
      <c r="B39" s="5" t="s">
        <v>40</v>
      </c>
      <c r="C39" s="5" t="s">
        <v>220</v>
      </c>
      <c r="D39" s="6" t="s">
        <v>221</v>
      </c>
      <c r="E39" s="5">
        <v>2</v>
      </c>
      <c r="F39" s="5">
        <v>0.33300000000000002</v>
      </c>
      <c r="G39" s="5">
        <v>7</v>
      </c>
      <c r="H39" s="5">
        <v>0.111</v>
      </c>
    </row>
    <row r="40" spans="1:8" ht="15.75" customHeight="1" x14ac:dyDescent="0.3">
      <c r="A40" s="8" t="s">
        <v>39</v>
      </c>
      <c r="B40" s="9" t="s">
        <v>40</v>
      </c>
      <c r="C40" s="9" t="s">
        <v>285</v>
      </c>
      <c r="D40" s="8" t="s">
        <v>286</v>
      </c>
      <c r="E40" s="9">
        <v>1</v>
      </c>
      <c r="F40" s="9">
        <v>0.25</v>
      </c>
      <c r="G40" s="9">
        <v>8</v>
      </c>
      <c r="H40" s="9">
        <v>3.5999999999999997E-2</v>
      </c>
    </row>
    <row r="41" spans="1:8" ht="15.75" customHeight="1" x14ac:dyDescent="0.3">
      <c r="A41" s="6" t="s">
        <v>39</v>
      </c>
      <c r="B41" s="5" t="s">
        <v>40</v>
      </c>
      <c r="C41" s="5" t="s">
        <v>210</v>
      </c>
      <c r="D41" s="6" t="s">
        <v>211</v>
      </c>
      <c r="E41" s="5">
        <v>1</v>
      </c>
      <c r="F41" s="5">
        <v>0.25</v>
      </c>
      <c r="G41" s="5">
        <v>8</v>
      </c>
      <c r="H41" s="5">
        <v>0.16700000000000001</v>
      </c>
    </row>
    <row r="42" spans="1:8" ht="15.75" customHeight="1" x14ac:dyDescent="0.3">
      <c r="A42" s="8" t="s">
        <v>39</v>
      </c>
      <c r="B42" s="9" t="s">
        <v>40</v>
      </c>
      <c r="C42" s="9" t="s">
        <v>330</v>
      </c>
      <c r="D42" s="8" t="s">
        <v>331</v>
      </c>
      <c r="E42" s="9">
        <v>1</v>
      </c>
      <c r="F42" s="9">
        <v>0.25</v>
      </c>
      <c r="G42" s="9">
        <v>8</v>
      </c>
      <c r="H42" s="9">
        <v>8.3000000000000004E-2</v>
      </c>
    </row>
    <row r="43" spans="1:8" ht="15.75" customHeight="1" x14ac:dyDescent="0.3">
      <c r="A43" s="6" t="s">
        <v>39</v>
      </c>
      <c r="B43" s="5" t="s">
        <v>40</v>
      </c>
      <c r="C43" s="5" t="s">
        <v>226</v>
      </c>
      <c r="D43" s="6" t="s">
        <v>227</v>
      </c>
      <c r="E43" s="5">
        <v>1</v>
      </c>
      <c r="F43" s="5">
        <v>0.33300000000000002</v>
      </c>
      <c r="G43" s="5">
        <v>8</v>
      </c>
      <c r="H43" s="5">
        <v>9.0999999999999998E-2</v>
      </c>
    </row>
    <row r="44" spans="1:8" ht="15.75" customHeight="1" x14ac:dyDescent="0.3">
      <c r="A44" s="8" t="s">
        <v>39</v>
      </c>
      <c r="B44" s="9" t="s">
        <v>40</v>
      </c>
      <c r="C44" s="9" t="s">
        <v>32</v>
      </c>
      <c r="D44" s="8" t="s">
        <v>33</v>
      </c>
      <c r="E44" s="9">
        <v>1</v>
      </c>
      <c r="F44" s="9">
        <v>9.0999999999999998E-2</v>
      </c>
      <c r="G44" s="9">
        <v>8</v>
      </c>
      <c r="H44" s="9">
        <v>0.05</v>
      </c>
    </row>
    <row r="45" spans="1:8" ht="15.75" customHeight="1" x14ac:dyDescent="0.3">
      <c r="A45" s="6" t="s">
        <v>62</v>
      </c>
      <c r="B45" s="5" t="s">
        <v>63</v>
      </c>
      <c r="C45" s="5" t="s">
        <v>64</v>
      </c>
      <c r="D45" s="6" t="s">
        <v>65</v>
      </c>
      <c r="E45" s="5">
        <v>11</v>
      </c>
      <c r="F45" s="5">
        <v>0.33300000000000002</v>
      </c>
      <c r="G45" s="5">
        <v>1</v>
      </c>
      <c r="H45" s="5">
        <v>0.55000000000000004</v>
      </c>
    </row>
    <row r="46" spans="1:8" ht="15.75" customHeight="1" x14ac:dyDescent="0.3">
      <c r="A46" s="8" t="s">
        <v>62</v>
      </c>
      <c r="B46" s="9" t="s">
        <v>63</v>
      </c>
      <c r="C46" s="9" t="s">
        <v>70</v>
      </c>
      <c r="D46" s="8" t="s">
        <v>71</v>
      </c>
      <c r="E46" s="9">
        <v>10</v>
      </c>
      <c r="F46" s="9">
        <v>0.2</v>
      </c>
      <c r="G46" s="9">
        <v>2</v>
      </c>
      <c r="H46" s="9">
        <v>0.25700000000000001</v>
      </c>
    </row>
    <row r="47" spans="1:8" ht="15.75" customHeight="1" x14ac:dyDescent="0.3">
      <c r="A47" s="6" t="s">
        <v>62</v>
      </c>
      <c r="B47" s="5" t="s">
        <v>63</v>
      </c>
      <c r="C47" s="5" t="s">
        <v>200</v>
      </c>
      <c r="D47" s="6" t="s">
        <v>201</v>
      </c>
      <c r="E47" s="5">
        <v>7</v>
      </c>
      <c r="F47" s="5">
        <v>0.33300000000000002</v>
      </c>
      <c r="G47" s="5">
        <v>4</v>
      </c>
      <c r="H47" s="5">
        <v>0.5</v>
      </c>
    </row>
    <row r="48" spans="1:8" ht="15.75" customHeight="1" x14ac:dyDescent="0.3">
      <c r="A48" s="8" t="s">
        <v>62</v>
      </c>
      <c r="B48" s="9" t="s">
        <v>63</v>
      </c>
      <c r="C48" s="9" t="s">
        <v>72</v>
      </c>
      <c r="D48" s="8" t="s">
        <v>73</v>
      </c>
      <c r="E48" s="9">
        <v>6</v>
      </c>
      <c r="F48" s="9">
        <v>0.33300000000000002</v>
      </c>
      <c r="G48" s="9">
        <v>5</v>
      </c>
      <c r="H48" s="9">
        <v>0.375</v>
      </c>
    </row>
    <row r="49" spans="1:8" ht="15.75" customHeight="1" x14ac:dyDescent="0.3">
      <c r="A49" s="6" t="s">
        <v>62</v>
      </c>
      <c r="B49" s="5" t="s">
        <v>63</v>
      </c>
      <c r="C49" s="5" t="s">
        <v>74</v>
      </c>
      <c r="D49" s="6" t="s">
        <v>75</v>
      </c>
      <c r="E49" s="5">
        <v>5</v>
      </c>
      <c r="F49" s="5">
        <v>0.2</v>
      </c>
      <c r="G49" s="5">
        <v>6</v>
      </c>
      <c r="H49" s="5">
        <v>0.33300000000000002</v>
      </c>
    </row>
    <row r="50" spans="1:8" ht="15.75" customHeight="1" x14ac:dyDescent="0.3">
      <c r="A50" s="8" t="s">
        <v>62</v>
      </c>
      <c r="B50" s="9" t="s">
        <v>63</v>
      </c>
      <c r="C50" s="9" t="s">
        <v>224</v>
      </c>
      <c r="D50" s="8" t="s">
        <v>225</v>
      </c>
      <c r="E50" s="9">
        <v>9</v>
      </c>
      <c r="F50" s="9">
        <v>0.111</v>
      </c>
      <c r="G50" s="9">
        <v>6</v>
      </c>
      <c r="H50" s="9">
        <v>0.192</v>
      </c>
    </row>
    <row r="51" spans="1:8" ht="15.75" customHeight="1" x14ac:dyDescent="0.3">
      <c r="A51" s="6" t="s">
        <v>62</v>
      </c>
      <c r="B51" s="5" t="s">
        <v>63</v>
      </c>
      <c r="C51" s="5" t="s">
        <v>82</v>
      </c>
      <c r="D51" s="6" t="s">
        <v>83</v>
      </c>
      <c r="E51" s="5">
        <v>5</v>
      </c>
      <c r="F51" s="5">
        <v>0.2</v>
      </c>
      <c r="G51" s="5">
        <v>6</v>
      </c>
      <c r="H51" s="5">
        <v>0.45500000000000002</v>
      </c>
    </row>
    <row r="52" spans="1:8" ht="15.75" customHeight="1" x14ac:dyDescent="0.3">
      <c r="A52" s="8" t="s">
        <v>62</v>
      </c>
      <c r="B52" s="9" t="s">
        <v>63</v>
      </c>
      <c r="C52" s="9" t="s">
        <v>126</v>
      </c>
      <c r="D52" s="8" t="s">
        <v>127</v>
      </c>
      <c r="E52" s="9">
        <v>4</v>
      </c>
      <c r="F52" s="9">
        <v>0.111</v>
      </c>
      <c r="G52" s="9">
        <v>7</v>
      </c>
      <c r="H52" s="9">
        <v>0.222</v>
      </c>
    </row>
    <row r="53" spans="1:8" ht="15.75" customHeight="1" x14ac:dyDescent="0.3">
      <c r="A53" s="6" t="s">
        <v>62</v>
      </c>
      <c r="B53" s="5" t="s">
        <v>63</v>
      </c>
      <c r="C53" s="5" t="s">
        <v>68</v>
      </c>
      <c r="D53" s="6" t="s">
        <v>69</v>
      </c>
      <c r="E53" s="5">
        <v>3</v>
      </c>
      <c r="F53" s="5">
        <v>0.14299999999999999</v>
      </c>
      <c r="G53" s="5">
        <v>8</v>
      </c>
      <c r="H53" s="5">
        <v>0.16700000000000001</v>
      </c>
    </row>
    <row r="54" spans="1:8" ht="15.75" customHeight="1" x14ac:dyDescent="0.3">
      <c r="A54" s="8" t="s">
        <v>62</v>
      </c>
      <c r="B54" s="9" t="s">
        <v>63</v>
      </c>
      <c r="C54" s="9" t="s">
        <v>66</v>
      </c>
      <c r="D54" s="8" t="s">
        <v>67</v>
      </c>
      <c r="E54" s="9">
        <v>3</v>
      </c>
      <c r="F54" s="9">
        <v>0.33300000000000002</v>
      </c>
      <c r="G54" s="9">
        <v>8</v>
      </c>
      <c r="H54" s="9">
        <v>0.5</v>
      </c>
    </row>
    <row r="55" spans="1:8" ht="15.75" customHeight="1" x14ac:dyDescent="0.3">
      <c r="A55" s="6" t="s">
        <v>62</v>
      </c>
      <c r="B55" s="5" t="s">
        <v>63</v>
      </c>
      <c r="C55" s="5" t="s">
        <v>76</v>
      </c>
      <c r="D55" s="6" t="s">
        <v>77</v>
      </c>
      <c r="E55" s="5">
        <v>2</v>
      </c>
      <c r="F55" s="5">
        <v>0.25</v>
      </c>
      <c r="G55" s="5">
        <v>9</v>
      </c>
      <c r="H55" s="5">
        <v>0.182</v>
      </c>
    </row>
    <row r="56" spans="1:8" ht="15.75" customHeight="1" x14ac:dyDescent="0.3">
      <c r="A56" s="8" t="s">
        <v>62</v>
      </c>
      <c r="B56" s="9" t="s">
        <v>63</v>
      </c>
      <c r="C56" s="9" t="s">
        <v>319</v>
      </c>
      <c r="D56" s="8" t="s">
        <v>320</v>
      </c>
      <c r="E56" s="9">
        <v>3</v>
      </c>
      <c r="F56" s="9">
        <v>0.25</v>
      </c>
      <c r="G56" s="9">
        <v>9</v>
      </c>
      <c r="H56" s="9">
        <v>0.4</v>
      </c>
    </row>
    <row r="57" spans="1:8" ht="15.75" customHeight="1" x14ac:dyDescent="0.3">
      <c r="A57" s="6" t="s">
        <v>62</v>
      </c>
      <c r="B57" s="5" t="s">
        <v>63</v>
      </c>
      <c r="C57" s="5" t="s">
        <v>336</v>
      </c>
      <c r="D57" s="6" t="s">
        <v>337</v>
      </c>
      <c r="E57" s="5">
        <v>2</v>
      </c>
      <c r="F57" s="5">
        <v>0.111</v>
      </c>
      <c r="G57" s="5">
        <v>9</v>
      </c>
      <c r="H57" s="5">
        <v>0.11799999999999999</v>
      </c>
    </row>
    <row r="58" spans="1:8" ht="15.75" customHeight="1" x14ac:dyDescent="0.3">
      <c r="A58" s="8" t="s">
        <v>62</v>
      </c>
      <c r="B58" s="9" t="s">
        <v>63</v>
      </c>
      <c r="C58" s="9" t="s">
        <v>80</v>
      </c>
      <c r="D58" s="8" t="s">
        <v>81</v>
      </c>
      <c r="E58" s="9">
        <v>2</v>
      </c>
      <c r="F58" s="9">
        <v>0.25</v>
      </c>
      <c r="G58" s="9">
        <v>9</v>
      </c>
      <c r="H58" s="9">
        <v>0.33300000000000002</v>
      </c>
    </row>
    <row r="59" spans="1:8" ht="15.75" customHeight="1" x14ac:dyDescent="0.3">
      <c r="A59" s="6" t="s">
        <v>62</v>
      </c>
      <c r="B59" s="5" t="s">
        <v>63</v>
      </c>
      <c r="C59" s="5" t="s">
        <v>202</v>
      </c>
      <c r="D59" s="6" t="s">
        <v>203</v>
      </c>
      <c r="E59" s="5">
        <v>1</v>
      </c>
      <c r="F59" s="5">
        <v>0.25</v>
      </c>
      <c r="G59" s="5">
        <v>10</v>
      </c>
      <c r="H59" s="5">
        <v>0.2</v>
      </c>
    </row>
    <row r="60" spans="1:8" ht="15.75" customHeight="1" x14ac:dyDescent="0.3">
      <c r="A60" s="8" t="s">
        <v>62</v>
      </c>
      <c r="B60" s="9" t="s">
        <v>63</v>
      </c>
      <c r="C60" s="9" t="s">
        <v>18</v>
      </c>
      <c r="D60" s="8" t="s">
        <v>19</v>
      </c>
      <c r="E60" s="9">
        <v>1</v>
      </c>
      <c r="F60" s="9">
        <v>0.111</v>
      </c>
      <c r="G60" s="9">
        <v>10</v>
      </c>
      <c r="H60" s="9">
        <v>5.8999999999999997E-2</v>
      </c>
    </row>
    <row r="61" spans="1:8" ht="15.75" customHeight="1" x14ac:dyDescent="0.3">
      <c r="A61" s="6" t="s">
        <v>62</v>
      </c>
      <c r="B61" s="5" t="s">
        <v>63</v>
      </c>
      <c r="C61" s="5" t="s">
        <v>164</v>
      </c>
      <c r="D61" s="6" t="s">
        <v>165</v>
      </c>
      <c r="E61" s="5">
        <v>1</v>
      </c>
      <c r="F61" s="5">
        <v>0.16700000000000001</v>
      </c>
      <c r="G61" s="5">
        <v>10</v>
      </c>
      <c r="H61" s="5">
        <v>0.125</v>
      </c>
    </row>
    <row r="62" spans="1:8" ht="15.75" customHeight="1" x14ac:dyDescent="0.3">
      <c r="A62" s="8" t="s">
        <v>62</v>
      </c>
      <c r="B62" s="9" t="s">
        <v>63</v>
      </c>
      <c r="C62" s="9" t="s">
        <v>20</v>
      </c>
      <c r="D62" s="8" t="s">
        <v>21</v>
      </c>
      <c r="E62" s="9">
        <v>1</v>
      </c>
      <c r="F62" s="9">
        <v>0.125</v>
      </c>
      <c r="G62" s="9">
        <v>10</v>
      </c>
      <c r="H62" s="9">
        <v>2.7E-2</v>
      </c>
    </row>
    <row r="63" spans="1:8" ht="15.75" customHeight="1" x14ac:dyDescent="0.3">
      <c r="A63" s="6" t="s">
        <v>62</v>
      </c>
      <c r="B63" s="5" t="s">
        <v>63</v>
      </c>
      <c r="C63" s="5" t="s">
        <v>301</v>
      </c>
      <c r="D63" s="6" t="s">
        <v>302</v>
      </c>
      <c r="E63" s="5">
        <v>1</v>
      </c>
      <c r="F63" s="5">
        <v>0.16700000000000001</v>
      </c>
      <c r="G63" s="5">
        <v>10</v>
      </c>
      <c r="H63" s="5">
        <v>8.3000000000000004E-2</v>
      </c>
    </row>
    <row r="64" spans="1:8" ht="15.75" customHeight="1" x14ac:dyDescent="0.3">
      <c r="A64" s="8" t="s">
        <v>62</v>
      </c>
      <c r="B64" s="9" t="s">
        <v>63</v>
      </c>
      <c r="C64" s="9" t="s">
        <v>78</v>
      </c>
      <c r="D64" s="8" t="s">
        <v>79</v>
      </c>
      <c r="E64" s="9">
        <v>1</v>
      </c>
      <c r="F64" s="9">
        <v>0.05</v>
      </c>
      <c r="G64" s="9">
        <v>10</v>
      </c>
      <c r="H64" s="9">
        <v>1.7999999999999999E-2</v>
      </c>
    </row>
    <row r="65" spans="1:8" ht="15.75" customHeight="1" x14ac:dyDescent="0.3">
      <c r="A65" s="6" t="s">
        <v>62</v>
      </c>
      <c r="B65" s="5" t="s">
        <v>63</v>
      </c>
      <c r="C65" s="5" t="s">
        <v>240</v>
      </c>
      <c r="D65" s="6" t="s">
        <v>241</v>
      </c>
      <c r="E65" s="5">
        <v>1</v>
      </c>
      <c r="F65" s="5">
        <v>9.0999999999999998E-2</v>
      </c>
      <c r="G65" s="5">
        <v>10</v>
      </c>
      <c r="H65" s="5">
        <v>0.04</v>
      </c>
    </row>
    <row r="66" spans="1:8" ht="15.75" customHeight="1" x14ac:dyDescent="0.3">
      <c r="A66" s="8" t="s">
        <v>62</v>
      </c>
      <c r="B66" s="9" t="s">
        <v>63</v>
      </c>
      <c r="C66" s="9" t="s">
        <v>92</v>
      </c>
      <c r="D66" s="8" t="s">
        <v>93</v>
      </c>
      <c r="E66" s="9">
        <v>1</v>
      </c>
      <c r="F66" s="9">
        <v>9.0999999999999998E-2</v>
      </c>
      <c r="G66" s="9">
        <v>10</v>
      </c>
      <c r="H66" s="9">
        <v>3.7999999999999999E-2</v>
      </c>
    </row>
    <row r="67" spans="1:8" ht="15.75" customHeight="1" x14ac:dyDescent="0.3">
      <c r="A67" s="6" t="s">
        <v>84</v>
      </c>
      <c r="B67" s="5" t="s">
        <v>85</v>
      </c>
      <c r="C67" s="5" t="s">
        <v>15</v>
      </c>
      <c r="D67" s="6" t="s">
        <v>16</v>
      </c>
      <c r="E67" s="5">
        <v>11</v>
      </c>
      <c r="F67" s="5">
        <v>0.125</v>
      </c>
      <c r="G67" s="5">
        <v>1</v>
      </c>
      <c r="H67" s="5">
        <v>0.16200000000000001</v>
      </c>
    </row>
    <row r="68" spans="1:8" ht="15.75" customHeight="1" x14ac:dyDescent="0.3">
      <c r="A68" s="8" t="s">
        <v>84</v>
      </c>
      <c r="B68" s="9" t="s">
        <v>85</v>
      </c>
      <c r="C68" s="9" t="s">
        <v>90</v>
      </c>
      <c r="D68" s="8" t="s">
        <v>91</v>
      </c>
      <c r="E68" s="9">
        <v>11</v>
      </c>
      <c r="F68" s="9">
        <v>9.0999999999999998E-2</v>
      </c>
      <c r="G68" s="9">
        <v>1</v>
      </c>
      <c r="H68" s="9">
        <v>0.21199999999999999</v>
      </c>
    </row>
    <row r="69" spans="1:8" ht="15.75" customHeight="1" x14ac:dyDescent="0.3">
      <c r="A69" s="6" t="s">
        <v>84</v>
      </c>
      <c r="B69" s="5" t="s">
        <v>85</v>
      </c>
      <c r="C69" s="5" t="s">
        <v>370</v>
      </c>
      <c r="D69" s="6" t="s">
        <v>371</v>
      </c>
      <c r="E69" s="5">
        <v>7</v>
      </c>
      <c r="F69" s="5">
        <v>0.33300000000000002</v>
      </c>
      <c r="G69" s="5">
        <v>3</v>
      </c>
      <c r="H69" s="5">
        <v>0.625</v>
      </c>
    </row>
    <row r="70" spans="1:8" ht="15.75" customHeight="1" x14ac:dyDescent="0.3">
      <c r="A70" s="8" t="s">
        <v>84</v>
      </c>
      <c r="B70" s="9" t="s">
        <v>85</v>
      </c>
      <c r="C70" s="9" t="s">
        <v>88</v>
      </c>
      <c r="D70" s="8" t="s">
        <v>89</v>
      </c>
      <c r="E70" s="9">
        <v>5</v>
      </c>
      <c r="F70" s="9">
        <v>0.1</v>
      </c>
      <c r="G70" s="9">
        <v>4</v>
      </c>
      <c r="H70" s="9">
        <v>0.182</v>
      </c>
    </row>
    <row r="71" spans="1:8" ht="15.75" customHeight="1" x14ac:dyDescent="0.3">
      <c r="A71" s="6" t="s">
        <v>84</v>
      </c>
      <c r="B71" s="5" t="s">
        <v>85</v>
      </c>
      <c r="C71" s="5" t="s">
        <v>94</v>
      </c>
      <c r="D71" s="6" t="s">
        <v>95</v>
      </c>
      <c r="E71" s="5">
        <v>4</v>
      </c>
      <c r="F71" s="5">
        <v>0.1</v>
      </c>
      <c r="G71" s="5">
        <v>4</v>
      </c>
      <c r="H71" s="5">
        <v>0.19</v>
      </c>
    </row>
    <row r="72" spans="1:8" ht="15.75" customHeight="1" x14ac:dyDescent="0.3">
      <c r="A72" s="8" t="s">
        <v>84</v>
      </c>
      <c r="B72" s="9" t="s">
        <v>85</v>
      </c>
      <c r="C72" s="9" t="s">
        <v>92</v>
      </c>
      <c r="D72" s="8" t="s">
        <v>93</v>
      </c>
      <c r="E72" s="9">
        <v>3</v>
      </c>
      <c r="F72" s="9">
        <v>9.0999999999999998E-2</v>
      </c>
      <c r="G72" s="9">
        <v>5</v>
      </c>
      <c r="H72" s="9">
        <v>0.115</v>
      </c>
    </row>
    <row r="73" spans="1:8" ht="15.75" customHeight="1" x14ac:dyDescent="0.3">
      <c r="A73" s="6" t="s">
        <v>84</v>
      </c>
      <c r="B73" s="5" t="s">
        <v>85</v>
      </c>
      <c r="C73" s="5" t="s">
        <v>96</v>
      </c>
      <c r="D73" s="6" t="s">
        <v>97</v>
      </c>
      <c r="E73" s="5">
        <v>3</v>
      </c>
      <c r="F73" s="5">
        <v>0.2</v>
      </c>
      <c r="G73" s="5">
        <v>5</v>
      </c>
      <c r="H73" s="5">
        <v>0.214</v>
      </c>
    </row>
    <row r="74" spans="1:8" ht="15.75" customHeight="1" x14ac:dyDescent="0.3">
      <c r="A74" s="8" t="s">
        <v>84</v>
      </c>
      <c r="B74" s="9" t="s">
        <v>85</v>
      </c>
      <c r="C74" s="9" t="s">
        <v>372</v>
      </c>
      <c r="D74" s="8" t="s">
        <v>373</v>
      </c>
      <c r="E74" s="9">
        <v>2</v>
      </c>
      <c r="F74" s="9">
        <v>0.33300000000000002</v>
      </c>
      <c r="G74" s="9">
        <v>6</v>
      </c>
      <c r="H74" s="9">
        <v>0.4</v>
      </c>
    </row>
    <row r="75" spans="1:8" ht="15.75" customHeight="1" x14ac:dyDescent="0.3">
      <c r="A75" s="6" t="s">
        <v>84</v>
      </c>
      <c r="B75" s="5" t="s">
        <v>85</v>
      </c>
      <c r="C75" s="5" t="s">
        <v>86</v>
      </c>
      <c r="D75" s="6" t="s">
        <v>87</v>
      </c>
      <c r="E75" s="5">
        <v>2</v>
      </c>
      <c r="F75" s="5">
        <v>0.25</v>
      </c>
      <c r="G75" s="5">
        <v>6</v>
      </c>
      <c r="H75" s="5">
        <v>0.154</v>
      </c>
    </row>
    <row r="76" spans="1:8" ht="15.75" customHeight="1" x14ac:dyDescent="0.3">
      <c r="A76" s="8" t="s">
        <v>84</v>
      </c>
      <c r="B76" s="9" t="s">
        <v>85</v>
      </c>
      <c r="C76" s="9" t="s">
        <v>37</v>
      </c>
      <c r="D76" s="8" t="s">
        <v>38</v>
      </c>
      <c r="E76" s="9">
        <v>2</v>
      </c>
      <c r="F76" s="9">
        <v>0.2</v>
      </c>
      <c r="G76" s="9">
        <v>6</v>
      </c>
      <c r="H76" s="9">
        <v>7.6999999999999999E-2</v>
      </c>
    </row>
    <row r="77" spans="1:8" ht="15.75" customHeight="1" x14ac:dyDescent="0.3">
      <c r="A77" s="6" t="s">
        <v>84</v>
      </c>
      <c r="B77" s="5" t="s">
        <v>85</v>
      </c>
      <c r="C77" s="5" t="s">
        <v>18</v>
      </c>
      <c r="D77" s="6" t="s">
        <v>19</v>
      </c>
      <c r="E77" s="5">
        <v>2</v>
      </c>
      <c r="F77" s="5">
        <v>0.111</v>
      </c>
      <c r="G77" s="5">
        <v>6</v>
      </c>
      <c r="H77" s="5">
        <v>0.11799999999999999</v>
      </c>
    </row>
    <row r="78" spans="1:8" ht="15.75" customHeight="1" x14ac:dyDescent="0.3">
      <c r="A78" s="8" t="s">
        <v>84</v>
      </c>
      <c r="B78" s="9" t="s">
        <v>85</v>
      </c>
      <c r="C78" s="9" t="s">
        <v>360</v>
      </c>
      <c r="D78" s="8" t="s">
        <v>361</v>
      </c>
      <c r="E78" s="9">
        <v>2</v>
      </c>
      <c r="F78" s="9">
        <v>0.2</v>
      </c>
      <c r="G78" s="9">
        <v>6</v>
      </c>
      <c r="H78" s="9">
        <v>6.7000000000000004E-2</v>
      </c>
    </row>
    <row r="79" spans="1:8" ht="15.75" customHeight="1" x14ac:dyDescent="0.3">
      <c r="A79" s="6" t="s">
        <v>84</v>
      </c>
      <c r="B79" s="5" t="s">
        <v>85</v>
      </c>
      <c r="C79" s="5" t="s">
        <v>362</v>
      </c>
      <c r="D79" s="6" t="s">
        <v>363</v>
      </c>
      <c r="E79" s="5">
        <v>2</v>
      </c>
      <c r="F79" s="5">
        <v>0.16700000000000001</v>
      </c>
      <c r="G79" s="5">
        <v>6</v>
      </c>
      <c r="H79" s="5">
        <v>0.14299999999999999</v>
      </c>
    </row>
    <row r="80" spans="1:8" ht="15.75" customHeight="1" x14ac:dyDescent="0.3">
      <c r="A80" s="8" t="s">
        <v>84</v>
      </c>
      <c r="B80" s="9" t="s">
        <v>85</v>
      </c>
      <c r="C80" s="9" t="s">
        <v>32</v>
      </c>
      <c r="D80" s="8" t="s">
        <v>33</v>
      </c>
      <c r="E80" s="9">
        <v>2</v>
      </c>
      <c r="F80" s="9">
        <v>9.0999999999999998E-2</v>
      </c>
      <c r="G80" s="9">
        <v>6</v>
      </c>
      <c r="H80" s="9">
        <v>0.1</v>
      </c>
    </row>
    <row r="81" spans="1:8" ht="15.75" customHeight="1" x14ac:dyDescent="0.3">
      <c r="A81" s="6" t="s">
        <v>84</v>
      </c>
      <c r="B81" s="5" t="s">
        <v>85</v>
      </c>
      <c r="C81" s="5" t="s">
        <v>374</v>
      </c>
      <c r="D81" s="6" t="s">
        <v>375</v>
      </c>
      <c r="E81" s="5">
        <v>1</v>
      </c>
      <c r="F81" s="5">
        <v>0.1</v>
      </c>
      <c r="G81" s="5">
        <v>7</v>
      </c>
      <c r="H81" s="5">
        <v>7.0999999999999994E-2</v>
      </c>
    </row>
    <row r="82" spans="1:8" ht="15.75" customHeight="1" x14ac:dyDescent="0.3">
      <c r="A82" s="8" t="s">
        <v>84</v>
      </c>
      <c r="B82" s="9" t="s">
        <v>85</v>
      </c>
      <c r="C82" s="9" t="s">
        <v>164</v>
      </c>
      <c r="D82" s="8" t="s">
        <v>165</v>
      </c>
      <c r="E82" s="9">
        <v>2</v>
      </c>
      <c r="F82" s="9">
        <v>0.16700000000000001</v>
      </c>
      <c r="G82" s="9">
        <v>7</v>
      </c>
      <c r="H82" s="9">
        <v>0.125</v>
      </c>
    </row>
    <row r="83" spans="1:8" ht="15.75" customHeight="1" x14ac:dyDescent="0.3">
      <c r="A83" s="6" t="s">
        <v>84</v>
      </c>
      <c r="B83" s="5" t="s">
        <v>85</v>
      </c>
      <c r="C83" s="5" t="s">
        <v>28</v>
      </c>
      <c r="D83" s="6" t="s">
        <v>29</v>
      </c>
      <c r="E83" s="5">
        <v>1</v>
      </c>
      <c r="F83" s="5">
        <v>0.2</v>
      </c>
      <c r="G83" s="5">
        <v>7</v>
      </c>
      <c r="H83" s="5">
        <v>0.125</v>
      </c>
    </row>
    <row r="84" spans="1:8" ht="15.75" customHeight="1" x14ac:dyDescent="0.3">
      <c r="A84" s="8" t="s">
        <v>84</v>
      </c>
      <c r="B84" s="9" t="s">
        <v>85</v>
      </c>
      <c r="C84" s="9" t="s">
        <v>206</v>
      </c>
      <c r="D84" s="8" t="s">
        <v>207</v>
      </c>
      <c r="E84" s="9">
        <v>1</v>
      </c>
      <c r="F84" s="9">
        <v>0.2</v>
      </c>
      <c r="G84" s="9">
        <v>7</v>
      </c>
      <c r="H84" s="9">
        <v>0.14299999999999999</v>
      </c>
    </row>
    <row r="85" spans="1:8" ht="15.75" customHeight="1" x14ac:dyDescent="0.3">
      <c r="A85" s="6" t="s">
        <v>84</v>
      </c>
      <c r="B85" s="5" t="s">
        <v>85</v>
      </c>
      <c r="C85" s="5" t="s">
        <v>376</v>
      </c>
      <c r="D85" s="6" t="s">
        <v>377</v>
      </c>
      <c r="E85" s="5">
        <v>1</v>
      </c>
      <c r="F85" s="5">
        <v>0.25</v>
      </c>
      <c r="G85" s="5">
        <v>7</v>
      </c>
      <c r="H85" s="5">
        <v>0.2</v>
      </c>
    </row>
    <row r="86" spans="1:8" ht="15.75" customHeight="1" x14ac:dyDescent="0.3">
      <c r="A86" s="8" t="s">
        <v>84</v>
      </c>
      <c r="B86" s="9" t="s">
        <v>85</v>
      </c>
      <c r="C86" s="9" t="s">
        <v>112</v>
      </c>
      <c r="D86" s="8" t="s">
        <v>113</v>
      </c>
      <c r="E86" s="9">
        <v>1</v>
      </c>
      <c r="F86" s="9">
        <v>0.1</v>
      </c>
      <c r="G86" s="9">
        <v>7</v>
      </c>
      <c r="H86" s="9">
        <v>0.05</v>
      </c>
    </row>
    <row r="87" spans="1:8" ht="15.75" customHeight="1" x14ac:dyDescent="0.3">
      <c r="A87" s="6" t="s">
        <v>84</v>
      </c>
      <c r="B87" s="5" t="s">
        <v>85</v>
      </c>
      <c r="C87" s="5" t="s">
        <v>378</v>
      </c>
      <c r="D87" s="6" t="s">
        <v>379</v>
      </c>
      <c r="E87" s="5">
        <v>1</v>
      </c>
      <c r="F87" s="5">
        <v>0.33300000000000002</v>
      </c>
      <c r="G87" s="5">
        <v>7</v>
      </c>
      <c r="H87" s="5">
        <v>0.2</v>
      </c>
    </row>
    <row r="88" spans="1:8" ht="15.75" customHeight="1" x14ac:dyDescent="0.3">
      <c r="A88" s="8" t="s">
        <v>84</v>
      </c>
      <c r="B88" s="9" t="s">
        <v>85</v>
      </c>
      <c r="C88" s="9" t="s">
        <v>152</v>
      </c>
      <c r="D88" s="8" t="s">
        <v>153</v>
      </c>
      <c r="E88" s="9">
        <v>1</v>
      </c>
      <c r="F88" s="9">
        <v>0.33300000000000002</v>
      </c>
      <c r="G88" s="9">
        <v>7</v>
      </c>
      <c r="H88" s="9">
        <v>0.125</v>
      </c>
    </row>
    <row r="89" spans="1:8" ht="15.75" customHeight="1" x14ac:dyDescent="0.3">
      <c r="A89" s="6" t="s">
        <v>84</v>
      </c>
      <c r="B89" s="5" t="s">
        <v>85</v>
      </c>
      <c r="C89" s="5" t="s">
        <v>98</v>
      </c>
      <c r="D89" s="6" t="s">
        <v>99</v>
      </c>
      <c r="E89" s="5">
        <v>1</v>
      </c>
      <c r="F89" s="5">
        <v>0.33300000000000002</v>
      </c>
      <c r="G89" s="5">
        <v>7</v>
      </c>
      <c r="H89" s="5">
        <v>0.14299999999999999</v>
      </c>
    </row>
    <row r="90" spans="1:8" ht="15.75" customHeight="1" x14ac:dyDescent="0.3">
      <c r="A90" s="6" t="s">
        <v>100</v>
      </c>
      <c r="B90" s="5" t="s">
        <v>101</v>
      </c>
      <c r="C90" s="5" t="s">
        <v>54</v>
      </c>
      <c r="D90" s="6" t="s">
        <v>55</v>
      </c>
      <c r="E90" s="5">
        <v>15</v>
      </c>
      <c r="F90" s="5">
        <v>0.25</v>
      </c>
      <c r="G90" s="5">
        <v>1</v>
      </c>
      <c r="H90" s="5">
        <v>0.68200000000000005</v>
      </c>
    </row>
    <row r="91" spans="1:8" ht="15.75" customHeight="1" x14ac:dyDescent="0.3">
      <c r="A91" s="8" t="s">
        <v>100</v>
      </c>
      <c r="B91" s="9" t="s">
        <v>101</v>
      </c>
      <c r="C91" s="9" t="s">
        <v>56</v>
      </c>
      <c r="D91" s="8" t="s">
        <v>57</v>
      </c>
      <c r="E91" s="9">
        <v>14</v>
      </c>
      <c r="F91" s="9">
        <v>0.2</v>
      </c>
      <c r="G91" s="9">
        <v>2</v>
      </c>
      <c r="H91" s="9">
        <v>0.60899999999999999</v>
      </c>
    </row>
    <row r="92" spans="1:8" ht="15.75" customHeight="1" x14ac:dyDescent="0.3">
      <c r="A92" s="6" t="s">
        <v>100</v>
      </c>
      <c r="B92" s="5" t="s">
        <v>101</v>
      </c>
      <c r="C92" s="5" t="s">
        <v>102</v>
      </c>
      <c r="D92" s="6" t="s">
        <v>103</v>
      </c>
      <c r="E92" s="5">
        <v>6</v>
      </c>
      <c r="F92" s="5">
        <v>0.33300000000000002</v>
      </c>
      <c r="G92" s="5">
        <v>5</v>
      </c>
      <c r="H92" s="5">
        <v>0.75</v>
      </c>
    </row>
    <row r="93" spans="1:8" ht="15.75" customHeight="1" x14ac:dyDescent="0.3">
      <c r="A93" s="8" t="s">
        <v>100</v>
      </c>
      <c r="B93" s="9" t="s">
        <v>101</v>
      </c>
      <c r="C93" s="9" t="s">
        <v>46</v>
      </c>
      <c r="D93" s="8" t="s">
        <v>47</v>
      </c>
      <c r="E93" s="9">
        <v>4</v>
      </c>
      <c r="F93" s="9">
        <v>0.14299999999999999</v>
      </c>
      <c r="G93" s="9">
        <v>7</v>
      </c>
      <c r="H93" s="9">
        <v>0.2</v>
      </c>
    </row>
    <row r="94" spans="1:8" ht="15.75" customHeight="1" x14ac:dyDescent="0.3">
      <c r="A94" s="6" t="s">
        <v>100</v>
      </c>
      <c r="B94" s="5" t="s">
        <v>101</v>
      </c>
      <c r="C94" s="5" t="s">
        <v>104</v>
      </c>
      <c r="D94" s="6" t="s">
        <v>105</v>
      </c>
      <c r="E94" s="5">
        <v>5</v>
      </c>
      <c r="F94" s="5">
        <v>0.33300000000000002</v>
      </c>
      <c r="G94" s="5">
        <v>7</v>
      </c>
      <c r="H94" s="5">
        <v>0.57099999999999995</v>
      </c>
    </row>
    <row r="95" spans="1:8" ht="15.75" customHeight="1" x14ac:dyDescent="0.3">
      <c r="A95" s="8" t="s">
        <v>100</v>
      </c>
      <c r="B95" s="9" t="s">
        <v>101</v>
      </c>
      <c r="C95" s="9" t="s">
        <v>41</v>
      </c>
      <c r="D95" s="8" t="s">
        <v>42</v>
      </c>
      <c r="E95" s="9">
        <v>4</v>
      </c>
      <c r="F95" s="9">
        <v>0.16700000000000001</v>
      </c>
      <c r="G95" s="9">
        <v>7</v>
      </c>
      <c r="H95" s="9">
        <v>0.154</v>
      </c>
    </row>
    <row r="96" spans="1:8" ht="15.75" customHeight="1" x14ac:dyDescent="0.3">
      <c r="A96" s="6" t="s">
        <v>100</v>
      </c>
      <c r="B96" s="5" t="s">
        <v>101</v>
      </c>
      <c r="C96" s="5" t="s">
        <v>106</v>
      </c>
      <c r="D96" s="6" t="s">
        <v>107</v>
      </c>
      <c r="E96" s="5">
        <v>7</v>
      </c>
      <c r="F96" s="5">
        <v>0.2</v>
      </c>
      <c r="G96" s="5">
        <v>7</v>
      </c>
      <c r="H96" s="5">
        <v>0.308</v>
      </c>
    </row>
    <row r="97" spans="1:8" ht="15.75" customHeight="1" x14ac:dyDescent="0.3">
      <c r="A97" s="8" t="s">
        <v>100</v>
      </c>
      <c r="B97" s="9" t="s">
        <v>101</v>
      </c>
      <c r="C97" s="9" t="s">
        <v>92</v>
      </c>
      <c r="D97" s="8" t="s">
        <v>93</v>
      </c>
      <c r="E97" s="9">
        <v>4</v>
      </c>
      <c r="F97" s="9">
        <v>9.0999999999999998E-2</v>
      </c>
      <c r="G97" s="9">
        <v>7</v>
      </c>
      <c r="H97" s="9">
        <v>0.154</v>
      </c>
    </row>
    <row r="98" spans="1:8" ht="15.75" customHeight="1" x14ac:dyDescent="0.3">
      <c r="A98" s="6" t="s">
        <v>100</v>
      </c>
      <c r="B98" s="5" t="s">
        <v>101</v>
      </c>
      <c r="C98" s="5" t="s">
        <v>240</v>
      </c>
      <c r="D98" s="6" t="s">
        <v>241</v>
      </c>
      <c r="E98" s="5">
        <v>3</v>
      </c>
      <c r="F98" s="5">
        <v>9.0999999999999998E-2</v>
      </c>
      <c r="G98" s="5">
        <v>8</v>
      </c>
      <c r="H98" s="5">
        <v>0.12</v>
      </c>
    </row>
    <row r="99" spans="1:8" ht="15.75" customHeight="1" x14ac:dyDescent="0.3">
      <c r="A99" s="8" t="s">
        <v>100</v>
      </c>
      <c r="B99" s="9" t="s">
        <v>101</v>
      </c>
      <c r="C99" s="9" t="s">
        <v>30</v>
      </c>
      <c r="D99" s="8" t="s">
        <v>31</v>
      </c>
      <c r="E99" s="9">
        <v>2</v>
      </c>
      <c r="F99" s="9">
        <v>0.2</v>
      </c>
      <c r="G99" s="9">
        <v>9</v>
      </c>
      <c r="H99" s="9">
        <v>0.25</v>
      </c>
    </row>
    <row r="100" spans="1:8" ht="15.75" customHeight="1" x14ac:dyDescent="0.3">
      <c r="A100" s="6" t="s">
        <v>100</v>
      </c>
      <c r="B100" s="5" t="s">
        <v>101</v>
      </c>
      <c r="C100" s="5" t="s">
        <v>281</v>
      </c>
      <c r="D100" s="6" t="s">
        <v>282</v>
      </c>
      <c r="E100" s="5">
        <v>2</v>
      </c>
      <c r="F100" s="5">
        <v>9.0999999999999998E-2</v>
      </c>
      <c r="G100" s="5">
        <v>9</v>
      </c>
      <c r="H100" s="5">
        <v>0.14299999999999999</v>
      </c>
    </row>
    <row r="101" spans="1:8" ht="15.75" customHeight="1" x14ac:dyDescent="0.3">
      <c r="A101" s="8" t="s">
        <v>100</v>
      </c>
      <c r="B101" s="9" t="s">
        <v>101</v>
      </c>
      <c r="C101" s="9" t="s">
        <v>112</v>
      </c>
      <c r="D101" s="8" t="s">
        <v>113</v>
      </c>
      <c r="E101" s="9">
        <v>2</v>
      </c>
      <c r="F101" s="9">
        <v>0.1</v>
      </c>
      <c r="G101" s="9">
        <v>9</v>
      </c>
      <c r="H101" s="9">
        <v>0.1</v>
      </c>
    </row>
    <row r="102" spans="1:8" ht="15.75" customHeight="1" x14ac:dyDescent="0.3">
      <c r="A102" s="6" t="s">
        <v>100</v>
      </c>
      <c r="B102" s="5" t="s">
        <v>101</v>
      </c>
      <c r="C102" s="5" t="s">
        <v>50</v>
      </c>
      <c r="D102" s="6" t="s">
        <v>51</v>
      </c>
      <c r="E102" s="5">
        <v>2</v>
      </c>
      <c r="F102" s="5">
        <v>0.125</v>
      </c>
      <c r="G102" s="5">
        <v>9</v>
      </c>
      <c r="H102" s="5">
        <v>0.125</v>
      </c>
    </row>
    <row r="103" spans="1:8" ht="15.75" customHeight="1" x14ac:dyDescent="0.3">
      <c r="A103" s="8" t="s">
        <v>100</v>
      </c>
      <c r="B103" s="9" t="s">
        <v>101</v>
      </c>
      <c r="C103" s="9" t="s">
        <v>258</v>
      </c>
      <c r="D103" s="8" t="s">
        <v>259</v>
      </c>
      <c r="E103" s="9">
        <v>1</v>
      </c>
      <c r="F103" s="9">
        <v>0.1</v>
      </c>
      <c r="G103" s="9">
        <v>10</v>
      </c>
      <c r="H103" s="9">
        <v>5.2999999999999999E-2</v>
      </c>
    </row>
    <row r="104" spans="1:8" ht="15.75" customHeight="1" x14ac:dyDescent="0.3">
      <c r="A104" s="6" t="s">
        <v>100</v>
      </c>
      <c r="B104" s="5" t="s">
        <v>101</v>
      </c>
      <c r="C104" s="5" t="s">
        <v>277</v>
      </c>
      <c r="D104" s="6" t="s">
        <v>278</v>
      </c>
      <c r="E104" s="5">
        <v>2</v>
      </c>
      <c r="F104" s="5">
        <v>0.33300000000000002</v>
      </c>
      <c r="G104" s="5">
        <v>10</v>
      </c>
      <c r="H104" s="5">
        <v>0.16700000000000001</v>
      </c>
    </row>
    <row r="105" spans="1:8" ht="15.75" customHeight="1" x14ac:dyDescent="0.3">
      <c r="A105" s="8" t="s">
        <v>100</v>
      </c>
      <c r="B105" s="9" t="s">
        <v>101</v>
      </c>
      <c r="C105" s="9" t="s">
        <v>380</v>
      </c>
      <c r="D105" s="8" t="s">
        <v>381</v>
      </c>
      <c r="E105" s="9">
        <v>1</v>
      </c>
      <c r="F105" s="9">
        <v>0.16700000000000001</v>
      </c>
      <c r="G105" s="9">
        <v>10</v>
      </c>
      <c r="H105" s="9">
        <v>0.111</v>
      </c>
    </row>
    <row r="106" spans="1:8" ht="15.75" customHeight="1" x14ac:dyDescent="0.3">
      <c r="A106" s="6" t="s">
        <v>100</v>
      </c>
      <c r="B106" s="5" t="s">
        <v>101</v>
      </c>
      <c r="C106" s="5" t="s">
        <v>109</v>
      </c>
      <c r="D106" s="6" t="s">
        <v>108</v>
      </c>
      <c r="E106" s="5">
        <v>1</v>
      </c>
      <c r="F106" s="5">
        <v>0.14299999999999999</v>
      </c>
      <c r="G106" s="5">
        <v>10</v>
      </c>
      <c r="H106" s="5">
        <v>0.111</v>
      </c>
    </row>
    <row r="107" spans="1:8" ht="15.75" customHeight="1" x14ac:dyDescent="0.3">
      <c r="A107" s="8" t="s">
        <v>100</v>
      </c>
      <c r="B107" s="9" t="s">
        <v>101</v>
      </c>
      <c r="C107" s="9" t="s">
        <v>110</v>
      </c>
      <c r="D107" s="8" t="s">
        <v>111</v>
      </c>
      <c r="E107" s="9">
        <v>1</v>
      </c>
      <c r="F107" s="9">
        <v>0.33300000000000002</v>
      </c>
      <c r="G107" s="9">
        <v>10</v>
      </c>
      <c r="H107" s="9">
        <v>9.0999999999999998E-2</v>
      </c>
    </row>
    <row r="108" spans="1:8" ht="15.75" customHeight="1" x14ac:dyDescent="0.3">
      <c r="A108" s="6" t="s">
        <v>100</v>
      </c>
      <c r="B108" s="5" t="s">
        <v>101</v>
      </c>
      <c r="C108" s="5" t="s">
        <v>301</v>
      </c>
      <c r="D108" s="6" t="s">
        <v>302</v>
      </c>
      <c r="E108" s="5">
        <v>1</v>
      </c>
      <c r="F108" s="5">
        <v>0.16700000000000001</v>
      </c>
      <c r="G108" s="5">
        <v>10</v>
      </c>
      <c r="H108" s="5">
        <v>8.3000000000000004E-2</v>
      </c>
    </row>
    <row r="109" spans="1:8" ht="15.75" customHeight="1" x14ac:dyDescent="0.3">
      <c r="A109" s="8" t="s">
        <v>100</v>
      </c>
      <c r="B109" s="9" t="s">
        <v>101</v>
      </c>
      <c r="C109" s="9" t="s">
        <v>88</v>
      </c>
      <c r="D109" s="8" t="s">
        <v>89</v>
      </c>
      <c r="E109" s="9">
        <v>2</v>
      </c>
      <c r="F109" s="9">
        <v>0.1</v>
      </c>
      <c r="G109" s="9">
        <v>10</v>
      </c>
      <c r="H109" s="9">
        <v>4.4999999999999998E-2</v>
      </c>
    </row>
    <row r="110" spans="1:8" ht="15.75" customHeight="1" x14ac:dyDescent="0.3">
      <c r="A110" s="6" t="s">
        <v>100</v>
      </c>
      <c r="B110" s="5" t="s">
        <v>101</v>
      </c>
      <c r="C110" s="5" t="s">
        <v>382</v>
      </c>
      <c r="D110" s="6" t="s">
        <v>383</v>
      </c>
      <c r="E110" s="5">
        <v>1</v>
      </c>
      <c r="F110" s="5">
        <v>0.2</v>
      </c>
      <c r="G110" s="5">
        <v>10</v>
      </c>
      <c r="H110" s="5">
        <v>0.111</v>
      </c>
    </row>
    <row r="111" spans="1:8" ht="15.75" customHeight="1" x14ac:dyDescent="0.3">
      <c r="A111" s="6" t="s">
        <v>114</v>
      </c>
      <c r="B111" s="5" t="s">
        <v>115</v>
      </c>
      <c r="C111" s="5" t="s">
        <v>132</v>
      </c>
      <c r="D111" s="6" t="s">
        <v>133</v>
      </c>
      <c r="E111" s="5">
        <v>14</v>
      </c>
      <c r="F111" s="5">
        <v>0.25</v>
      </c>
      <c r="G111" s="5">
        <v>2</v>
      </c>
      <c r="H111" s="5">
        <v>0.73699999999999999</v>
      </c>
    </row>
    <row r="112" spans="1:8" ht="15.75" customHeight="1" x14ac:dyDescent="0.3">
      <c r="A112" s="8" t="s">
        <v>114</v>
      </c>
      <c r="B112" s="9" t="s">
        <v>115</v>
      </c>
      <c r="C112" s="9" t="s">
        <v>116</v>
      </c>
      <c r="D112" s="8" t="s">
        <v>117</v>
      </c>
      <c r="E112" s="9">
        <v>15</v>
      </c>
      <c r="F112" s="9">
        <v>0.14299999999999999</v>
      </c>
      <c r="G112" s="9">
        <v>3</v>
      </c>
      <c r="H112" s="9">
        <v>0.38100000000000001</v>
      </c>
    </row>
    <row r="113" spans="1:8" ht="15.75" customHeight="1" x14ac:dyDescent="0.3">
      <c r="A113" s="6" t="s">
        <v>114</v>
      </c>
      <c r="B113" s="5" t="s">
        <v>115</v>
      </c>
      <c r="C113" s="5" t="s">
        <v>250</v>
      </c>
      <c r="D113" s="6" t="s">
        <v>251</v>
      </c>
      <c r="E113" s="5">
        <v>5</v>
      </c>
      <c r="F113" s="5">
        <v>0.25</v>
      </c>
      <c r="G113" s="5">
        <v>6</v>
      </c>
      <c r="H113" s="5">
        <v>0.29399999999999998</v>
      </c>
    </row>
    <row r="114" spans="1:8" ht="15.75" customHeight="1" x14ac:dyDescent="0.3">
      <c r="A114" s="8" t="s">
        <v>114</v>
      </c>
      <c r="B114" s="9" t="s">
        <v>115</v>
      </c>
      <c r="C114" s="9" t="s">
        <v>118</v>
      </c>
      <c r="D114" s="8" t="s">
        <v>119</v>
      </c>
      <c r="E114" s="9">
        <v>5</v>
      </c>
      <c r="F114" s="9">
        <v>0.33300000000000002</v>
      </c>
      <c r="G114" s="9">
        <v>6</v>
      </c>
      <c r="H114" s="9">
        <v>0.625</v>
      </c>
    </row>
    <row r="115" spans="1:8" ht="15.75" customHeight="1" x14ac:dyDescent="0.3">
      <c r="A115" s="6" t="s">
        <v>114</v>
      </c>
      <c r="B115" s="5" t="s">
        <v>115</v>
      </c>
      <c r="C115" s="5" t="s">
        <v>120</v>
      </c>
      <c r="D115" s="6" t="s">
        <v>121</v>
      </c>
      <c r="E115" s="5">
        <v>4</v>
      </c>
      <c r="F115" s="5">
        <v>0.16700000000000001</v>
      </c>
      <c r="G115" s="5">
        <v>7</v>
      </c>
      <c r="H115" s="5">
        <v>0.2</v>
      </c>
    </row>
    <row r="116" spans="1:8" ht="15.75" customHeight="1" x14ac:dyDescent="0.3">
      <c r="A116" s="8" t="s">
        <v>114</v>
      </c>
      <c r="B116" s="9" t="s">
        <v>115</v>
      </c>
      <c r="C116" s="9" t="s">
        <v>384</v>
      </c>
      <c r="D116" s="8" t="s">
        <v>385</v>
      </c>
      <c r="E116" s="9">
        <v>4</v>
      </c>
      <c r="F116" s="9">
        <v>0.2</v>
      </c>
      <c r="G116" s="9">
        <v>7</v>
      </c>
      <c r="H116" s="9">
        <v>0.33300000000000002</v>
      </c>
    </row>
    <row r="117" spans="1:8" ht="15.75" customHeight="1" x14ac:dyDescent="0.3">
      <c r="A117" s="6" t="s">
        <v>114</v>
      </c>
      <c r="B117" s="5" t="s">
        <v>115</v>
      </c>
      <c r="C117" s="5" t="s">
        <v>130</v>
      </c>
      <c r="D117" s="6" t="s">
        <v>131</v>
      </c>
      <c r="E117" s="5">
        <v>5</v>
      </c>
      <c r="F117" s="5">
        <v>0.2</v>
      </c>
      <c r="G117" s="5">
        <v>7</v>
      </c>
      <c r="H117" s="5">
        <v>0.23499999999999999</v>
      </c>
    </row>
    <row r="118" spans="1:8" ht="15.75" customHeight="1" x14ac:dyDescent="0.3">
      <c r="A118" s="8" t="s">
        <v>114</v>
      </c>
      <c r="B118" s="9" t="s">
        <v>115</v>
      </c>
      <c r="C118" s="9" t="s">
        <v>126</v>
      </c>
      <c r="D118" s="8" t="s">
        <v>127</v>
      </c>
      <c r="E118" s="9">
        <v>4</v>
      </c>
      <c r="F118" s="9">
        <v>0.111</v>
      </c>
      <c r="G118" s="9">
        <v>7</v>
      </c>
      <c r="H118" s="9">
        <v>0.222</v>
      </c>
    </row>
    <row r="119" spans="1:8" ht="15.75" customHeight="1" x14ac:dyDescent="0.3">
      <c r="A119" s="6" t="s">
        <v>114</v>
      </c>
      <c r="B119" s="5" t="s">
        <v>115</v>
      </c>
      <c r="C119" s="5" t="s">
        <v>323</v>
      </c>
      <c r="D119" s="6" t="s">
        <v>324</v>
      </c>
      <c r="E119" s="5">
        <v>3</v>
      </c>
      <c r="F119" s="5">
        <v>0.16700000000000001</v>
      </c>
      <c r="G119" s="5">
        <v>8</v>
      </c>
      <c r="H119" s="5">
        <v>0.17599999999999999</v>
      </c>
    </row>
    <row r="120" spans="1:8" ht="15.75" customHeight="1" x14ac:dyDescent="0.3">
      <c r="A120" s="8" t="s">
        <v>114</v>
      </c>
      <c r="B120" s="9" t="s">
        <v>115</v>
      </c>
      <c r="C120" s="9" t="s">
        <v>50</v>
      </c>
      <c r="D120" s="8" t="s">
        <v>51</v>
      </c>
      <c r="E120" s="9">
        <v>3</v>
      </c>
      <c r="F120" s="9">
        <v>0.125</v>
      </c>
      <c r="G120" s="9">
        <v>8</v>
      </c>
      <c r="H120" s="9">
        <v>0.188</v>
      </c>
    </row>
    <row r="121" spans="1:8" ht="15.75" customHeight="1" x14ac:dyDescent="0.3">
      <c r="A121" s="6" t="s">
        <v>114</v>
      </c>
      <c r="B121" s="5" t="s">
        <v>115</v>
      </c>
      <c r="C121" s="5" t="s">
        <v>386</v>
      </c>
      <c r="D121" s="6" t="s">
        <v>387</v>
      </c>
      <c r="E121" s="5">
        <v>2</v>
      </c>
      <c r="F121" s="5">
        <v>0.33300000000000002</v>
      </c>
      <c r="G121" s="5">
        <v>9</v>
      </c>
      <c r="H121" s="5">
        <v>0.5</v>
      </c>
    </row>
    <row r="122" spans="1:8" ht="15.75" customHeight="1" x14ac:dyDescent="0.3">
      <c r="A122" s="8" t="s">
        <v>114</v>
      </c>
      <c r="B122" s="9" t="s">
        <v>115</v>
      </c>
      <c r="C122" s="9" t="s">
        <v>281</v>
      </c>
      <c r="D122" s="8" t="s">
        <v>282</v>
      </c>
      <c r="E122" s="9">
        <v>3</v>
      </c>
      <c r="F122" s="9">
        <v>9.0999999999999998E-2</v>
      </c>
      <c r="G122" s="9">
        <v>9</v>
      </c>
      <c r="H122" s="9">
        <v>0.14299999999999999</v>
      </c>
    </row>
    <row r="123" spans="1:8" ht="15.75" customHeight="1" x14ac:dyDescent="0.3">
      <c r="A123" s="6" t="s">
        <v>114</v>
      </c>
      <c r="B123" s="5" t="s">
        <v>115</v>
      </c>
      <c r="C123" s="5" t="s">
        <v>388</v>
      </c>
      <c r="D123" s="6" t="s">
        <v>389</v>
      </c>
      <c r="E123" s="5">
        <v>2</v>
      </c>
      <c r="F123" s="5">
        <v>0.2</v>
      </c>
      <c r="G123" s="5">
        <v>9</v>
      </c>
      <c r="H123" s="5">
        <v>0.25</v>
      </c>
    </row>
    <row r="124" spans="1:8" ht="15.75" customHeight="1" x14ac:dyDescent="0.3">
      <c r="A124" s="8" t="s">
        <v>114</v>
      </c>
      <c r="B124" s="9" t="s">
        <v>115</v>
      </c>
      <c r="C124" s="9" t="s">
        <v>307</v>
      </c>
      <c r="D124" s="8" t="s">
        <v>308</v>
      </c>
      <c r="E124" s="9">
        <v>2</v>
      </c>
      <c r="F124" s="9">
        <v>0.25</v>
      </c>
      <c r="G124" s="9">
        <v>9</v>
      </c>
      <c r="H124" s="9">
        <v>0.28599999999999998</v>
      </c>
    </row>
    <row r="125" spans="1:8" ht="15.75" customHeight="1" x14ac:dyDescent="0.3">
      <c r="A125" s="6" t="s">
        <v>114</v>
      </c>
      <c r="B125" s="5" t="s">
        <v>115</v>
      </c>
      <c r="C125" s="5" t="s">
        <v>258</v>
      </c>
      <c r="D125" s="6" t="s">
        <v>259</v>
      </c>
      <c r="E125" s="5">
        <v>2</v>
      </c>
      <c r="F125" s="5">
        <v>0.1</v>
      </c>
      <c r="G125" s="5">
        <v>9</v>
      </c>
      <c r="H125" s="5">
        <v>0.105</v>
      </c>
    </row>
    <row r="126" spans="1:8" ht="15.75" customHeight="1" x14ac:dyDescent="0.3">
      <c r="A126" s="8" t="s">
        <v>114</v>
      </c>
      <c r="B126" s="9" t="s">
        <v>115</v>
      </c>
      <c r="C126" s="9" t="s">
        <v>92</v>
      </c>
      <c r="D126" s="8" t="s">
        <v>93</v>
      </c>
      <c r="E126" s="9">
        <v>2</v>
      </c>
      <c r="F126" s="9">
        <v>9.0999999999999998E-2</v>
      </c>
      <c r="G126" s="9">
        <v>9</v>
      </c>
      <c r="H126" s="9">
        <v>7.6999999999999999E-2</v>
      </c>
    </row>
    <row r="127" spans="1:8" ht="15.75" customHeight="1" x14ac:dyDescent="0.3">
      <c r="A127" s="6" t="s">
        <v>114</v>
      </c>
      <c r="B127" s="5" t="s">
        <v>115</v>
      </c>
      <c r="C127" s="5" t="s">
        <v>124</v>
      </c>
      <c r="D127" s="6" t="s">
        <v>125</v>
      </c>
      <c r="E127" s="5">
        <v>2</v>
      </c>
      <c r="F127" s="5">
        <v>0.25</v>
      </c>
      <c r="G127" s="5">
        <v>9</v>
      </c>
      <c r="H127" s="5">
        <v>0.33300000000000002</v>
      </c>
    </row>
    <row r="128" spans="1:8" ht="15.75" customHeight="1" x14ac:dyDescent="0.3">
      <c r="A128" s="8" t="s">
        <v>114</v>
      </c>
      <c r="B128" s="9" t="s">
        <v>115</v>
      </c>
      <c r="C128" s="9" t="s">
        <v>382</v>
      </c>
      <c r="D128" s="8" t="s">
        <v>383</v>
      </c>
      <c r="E128" s="9">
        <v>2</v>
      </c>
      <c r="F128" s="9">
        <v>0.2</v>
      </c>
      <c r="G128" s="9">
        <v>9</v>
      </c>
      <c r="H128" s="9">
        <v>0.222</v>
      </c>
    </row>
    <row r="129" spans="1:8" ht="15.75" customHeight="1" x14ac:dyDescent="0.3">
      <c r="A129" s="6" t="s">
        <v>114</v>
      </c>
      <c r="B129" s="5" t="s">
        <v>115</v>
      </c>
      <c r="C129" s="5" t="s">
        <v>240</v>
      </c>
      <c r="D129" s="6" t="s">
        <v>241</v>
      </c>
      <c r="E129" s="5">
        <v>1</v>
      </c>
      <c r="F129" s="5">
        <v>9.0999999999999998E-2</v>
      </c>
      <c r="G129" s="5">
        <v>10</v>
      </c>
      <c r="H129" s="5">
        <v>0.04</v>
      </c>
    </row>
    <row r="130" spans="1:8" ht="15.75" customHeight="1" x14ac:dyDescent="0.3">
      <c r="A130" s="8" t="s">
        <v>114</v>
      </c>
      <c r="B130" s="9" t="s">
        <v>115</v>
      </c>
      <c r="C130" s="9" t="s">
        <v>32</v>
      </c>
      <c r="D130" s="8" t="s">
        <v>33</v>
      </c>
      <c r="E130" s="9">
        <v>1</v>
      </c>
      <c r="F130" s="9">
        <v>9.0999999999999998E-2</v>
      </c>
      <c r="G130" s="9">
        <v>10</v>
      </c>
      <c r="H130" s="9">
        <v>0.05</v>
      </c>
    </row>
    <row r="131" spans="1:8" ht="15.75" customHeight="1" x14ac:dyDescent="0.3">
      <c r="A131" s="6" t="s">
        <v>114</v>
      </c>
      <c r="B131" s="5" t="s">
        <v>115</v>
      </c>
      <c r="C131" s="5" t="s">
        <v>380</v>
      </c>
      <c r="D131" s="6" t="s">
        <v>381</v>
      </c>
      <c r="E131" s="5">
        <v>1</v>
      </c>
      <c r="F131" s="5">
        <v>0.16700000000000001</v>
      </c>
      <c r="G131" s="5">
        <v>10</v>
      </c>
      <c r="H131" s="5">
        <v>0.111</v>
      </c>
    </row>
    <row r="132" spans="1:8" ht="15.75" customHeight="1" x14ac:dyDescent="0.3">
      <c r="A132" s="8" t="s">
        <v>114</v>
      </c>
      <c r="B132" s="9" t="s">
        <v>115</v>
      </c>
      <c r="C132" s="9" t="s">
        <v>109</v>
      </c>
      <c r="D132" s="8" t="s">
        <v>108</v>
      </c>
      <c r="E132" s="9">
        <v>1</v>
      </c>
      <c r="F132" s="9">
        <v>0.14299999999999999</v>
      </c>
      <c r="G132" s="9">
        <v>10</v>
      </c>
      <c r="H132" s="9">
        <v>0.111</v>
      </c>
    </row>
    <row r="133" spans="1:8" ht="15.75" customHeight="1" x14ac:dyDescent="0.3">
      <c r="A133" s="6" t="s">
        <v>114</v>
      </c>
      <c r="B133" s="5" t="s">
        <v>115</v>
      </c>
      <c r="C133" s="5" t="s">
        <v>128</v>
      </c>
      <c r="D133" s="6" t="s">
        <v>129</v>
      </c>
      <c r="E133" s="5">
        <v>1</v>
      </c>
      <c r="F133" s="5">
        <v>0.33300000000000002</v>
      </c>
      <c r="G133" s="5">
        <v>10</v>
      </c>
      <c r="H133" s="5">
        <v>0.14299999999999999</v>
      </c>
    </row>
    <row r="134" spans="1:8" ht="15.75" customHeight="1" x14ac:dyDescent="0.3">
      <c r="A134" s="8" t="s">
        <v>114</v>
      </c>
      <c r="B134" s="9" t="s">
        <v>115</v>
      </c>
      <c r="C134" s="9" t="s">
        <v>122</v>
      </c>
      <c r="D134" s="8" t="s">
        <v>123</v>
      </c>
      <c r="E134" s="9">
        <v>1</v>
      </c>
      <c r="F134" s="9">
        <v>0.33300000000000002</v>
      </c>
      <c r="G134" s="9">
        <v>10</v>
      </c>
      <c r="H134" s="9">
        <v>7.6999999999999999E-2</v>
      </c>
    </row>
    <row r="135" spans="1:8" ht="15.75" customHeight="1" x14ac:dyDescent="0.3">
      <c r="A135" s="6" t="s">
        <v>114</v>
      </c>
      <c r="B135" s="5" t="s">
        <v>115</v>
      </c>
      <c r="C135" s="5" t="s">
        <v>46</v>
      </c>
      <c r="D135" s="6" t="s">
        <v>47</v>
      </c>
      <c r="E135" s="5">
        <v>1</v>
      </c>
      <c r="F135" s="5">
        <v>0.14299999999999999</v>
      </c>
      <c r="G135" s="5">
        <v>10</v>
      </c>
      <c r="H135" s="5">
        <v>0.05</v>
      </c>
    </row>
    <row r="136" spans="1:8" ht="15.75" customHeight="1" x14ac:dyDescent="0.3">
      <c r="A136" s="8" t="s">
        <v>114</v>
      </c>
      <c r="B136" s="9" t="s">
        <v>115</v>
      </c>
      <c r="C136" s="9" t="s">
        <v>68</v>
      </c>
      <c r="D136" s="8" t="s">
        <v>69</v>
      </c>
      <c r="E136" s="9">
        <v>1</v>
      </c>
      <c r="F136" s="9">
        <v>0.14299999999999999</v>
      </c>
      <c r="G136" s="9">
        <v>10</v>
      </c>
      <c r="H136" s="9">
        <v>5.6000000000000001E-2</v>
      </c>
    </row>
    <row r="137" spans="1:8" ht="15.75" customHeight="1" x14ac:dyDescent="0.3">
      <c r="A137" s="6" t="s">
        <v>114</v>
      </c>
      <c r="B137" s="5" t="s">
        <v>115</v>
      </c>
      <c r="C137" s="5" t="s">
        <v>390</v>
      </c>
      <c r="D137" s="6" t="s">
        <v>391</v>
      </c>
      <c r="E137" s="5">
        <v>1</v>
      </c>
      <c r="F137" s="5">
        <v>0.16700000000000001</v>
      </c>
      <c r="G137" s="5">
        <v>10</v>
      </c>
      <c r="H137" s="5">
        <v>0.14299999999999999</v>
      </c>
    </row>
    <row r="138" spans="1:8" ht="15.75" customHeight="1" x14ac:dyDescent="0.3">
      <c r="A138" s="8" t="s">
        <v>114</v>
      </c>
      <c r="B138" s="9" t="s">
        <v>115</v>
      </c>
      <c r="C138" s="9" t="s">
        <v>392</v>
      </c>
      <c r="D138" s="8" t="s">
        <v>393</v>
      </c>
      <c r="E138" s="9">
        <v>1</v>
      </c>
      <c r="F138" s="9">
        <v>0.2</v>
      </c>
      <c r="G138" s="9">
        <v>10</v>
      </c>
      <c r="H138" s="9">
        <v>0.125</v>
      </c>
    </row>
    <row r="139" spans="1:8" ht="15.75" customHeight="1" x14ac:dyDescent="0.3">
      <c r="A139" s="6" t="s">
        <v>114</v>
      </c>
      <c r="B139" s="5" t="s">
        <v>115</v>
      </c>
      <c r="C139" s="5" t="s">
        <v>325</v>
      </c>
      <c r="D139" s="6" t="s">
        <v>326</v>
      </c>
      <c r="E139" s="5">
        <v>1</v>
      </c>
      <c r="F139" s="5">
        <v>0.33300000000000002</v>
      </c>
      <c r="G139" s="5">
        <v>10</v>
      </c>
      <c r="H139" s="5">
        <v>0.16700000000000001</v>
      </c>
    </row>
    <row r="140" spans="1:8" ht="15.75" customHeight="1" x14ac:dyDescent="0.3">
      <c r="A140" s="8" t="s">
        <v>114</v>
      </c>
      <c r="B140" s="9" t="s">
        <v>115</v>
      </c>
      <c r="C140" s="9" t="s">
        <v>374</v>
      </c>
      <c r="D140" s="8" t="s">
        <v>375</v>
      </c>
      <c r="E140" s="9">
        <v>1</v>
      </c>
      <c r="F140" s="9">
        <v>0.1</v>
      </c>
      <c r="G140" s="9">
        <v>10</v>
      </c>
      <c r="H140" s="9">
        <v>7.0999999999999994E-2</v>
      </c>
    </row>
    <row r="141" spans="1:8" ht="15.75" customHeight="1" x14ac:dyDescent="0.3">
      <c r="A141" s="6" t="s">
        <v>114</v>
      </c>
      <c r="B141" s="5" t="s">
        <v>115</v>
      </c>
      <c r="C141" s="5" t="s">
        <v>216</v>
      </c>
      <c r="D141" s="6" t="s">
        <v>217</v>
      </c>
      <c r="E141" s="5">
        <v>1</v>
      </c>
      <c r="F141" s="5">
        <v>0.33300000000000002</v>
      </c>
      <c r="G141" s="5">
        <v>10</v>
      </c>
      <c r="H141" s="5">
        <v>0.25</v>
      </c>
    </row>
    <row r="142" spans="1:8" ht="15.75" customHeight="1" x14ac:dyDescent="0.3">
      <c r="A142" s="6" t="s">
        <v>134</v>
      </c>
      <c r="B142" s="5" t="s">
        <v>135</v>
      </c>
      <c r="C142" s="5" t="s">
        <v>26</v>
      </c>
      <c r="D142" s="6" t="s">
        <v>27</v>
      </c>
      <c r="E142" s="5">
        <v>16</v>
      </c>
      <c r="F142" s="5">
        <v>0.25</v>
      </c>
      <c r="G142" s="5">
        <v>1</v>
      </c>
      <c r="H142" s="5">
        <v>0.432</v>
      </c>
    </row>
    <row r="143" spans="1:8" ht="15.75" customHeight="1" x14ac:dyDescent="0.3">
      <c r="A143" s="8" t="s">
        <v>134</v>
      </c>
      <c r="B143" s="9" t="s">
        <v>135</v>
      </c>
      <c r="C143" s="9" t="s">
        <v>138</v>
      </c>
      <c r="D143" s="8" t="s">
        <v>139</v>
      </c>
      <c r="E143" s="9">
        <v>17</v>
      </c>
      <c r="F143" s="9">
        <v>0.33300000000000002</v>
      </c>
      <c r="G143" s="9">
        <v>1</v>
      </c>
      <c r="H143" s="9">
        <v>0.72699999999999998</v>
      </c>
    </row>
    <row r="144" spans="1:8" ht="15.75" customHeight="1" x14ac:dyDescent="0.3">
      <c r="A144" s="6" t="s">
        <v>134</v>
      </c>
      <c r="B144" s="5" t="s">
        <v>135</v>
      </c>
      <c r="C144" s="5" t="s">
        <v>136</v>
      </c>
      <c r="D144" s="6" t="s">
        <v>137</v>
      </c>
      <c r="E144" s="5">
        <v>16</v>
      </c>
      <c r="F144" s="5">
        <v>0.16700000000000001</v>
      </c>
      <c r="G144" s="5">
        <v>2</v>
      </c>
      <c r="H144" s="5">
        <v>0.32100000000000001</v>
      </c>
    </row>
    <row r="145" spans="1:8" ht="15.75" customHeight="1" x14ac:dyDescent="0.3">
      <c r="A145" s="8" t="s">
        <v>134</v>
      </c>
      <c r="B145" s="9" t="s">
        <v>135</v>
      </c>
      <c r="C145" s="9" t="s">
        <v>15</v>
      </c>
      <c r="D145" s="8" t="s">
        <v>16</v>
      </c>
      <c r="E145" s="9">
        <v>7</v>
      </c>
      <c r="F145" s="9">
        <v>0.125</v>
      </c>
      <c r="G145" s="9">
        <v>3</v>
      </c>
      <c r="H145" s="9">
        <v>0.10299999999999999</v>
      </c>
    </row>
    <row r="146" spans="1:8" ht="15.75" customHeight="1" x14ac:dyDescent="0.3">
      <c r="A146" s="6" t="s">
        <v>134</v>
      </c>
      <c r="B146" s="5" t="s">
        <v>135</v>
      </c>
      <c r="C146" s="5" t="s">
        <v>32</v>
      </c>
      <c r="D146" s="6" t="s">
        <v>33</v>
      </c>
      <c r="E146" s="5">
        <v>3</v>
      </c>
      <c r="F146" s="5">
        <v>9.0999999999999998E-2</v>
      </c>
      <c r="G146" s="5">
        <v>5</v>
      </c>
      <c r="H146" s="5">
        <v>0.15</v>
      </c>
    </row>
    <row r="147" spans="1:8" ht="15.75" customHeight="1" x14ac:dyDescent="0.3">
      <c r="A147" s="8" t="s">
        <v>134</v>
      </c>
      <c r="B147" s="9" t="s">
        <v>135</v>
      </c>
      <c r="C147" s="9" t="s">
        <v>140</v>
      </c>
      <c r="D147" s="8" t="s">
        <v>141</v>
      </c>
      <c r="E147" s="9">
        <v>5</v>
      </c>
      <c r="F147" s="9">
        <v>0.33300000000000002</v>
      </c>
      <c r="G147" s="9">
        <v>5</v>
      </c>
      <c r="H147" s="9">
        <v>0.15</v>
      </c>
    </row>
    <row r="148" spans="1:8" ht="15.75" customHeight="1" x14ac:dyDescent="0.3">
      <c r="A148" s="6" t="s">
        <v>134</v>
      </c>
      <c r="B148" s="5" t="s">
        <v>135</v>
      </c>
      <c r="C148" s="5" t="s">
        <v>96</v>
      </c>
      <c r="D148" s="6" t="s">
        <v>97</v>
      </c>
      <c r="E148" s="5">
        <v>3</v>
      </c>
      <c r="F148" s="5">
        <v>0.2</v>
      </c>
      <c r="G148" s="5">
        <v>5</v>
      </c>
      <c r="H148" s="5">
        <v>0.214</v>
      </c>
    </row>
    <row r="149" spans="1:8" ht="15.75" customHeight="1" x14ac:dyDescent="0.3">
      <c r="A149" s="8" t="s">
        <v>134</v>
      </c>
      <c r="B149" s="9" t="s">
        <v>135</v>
      </c>
      <c r="C149" s="9" t="s">
        <v>144</v>
      </c>
      <c r="D149" s="8" t="s">
        <v>145</v>
      </c>
      <c r="E149" s="9">
        <v>2</v>
      </c>
      <c r="F149" s="9">
        <v>0.2</v>
      </c>
      <c r="G149" s="9">
        <v>6</v>
      </c>
      <c r="H149" s="9">
        <v>0.13300000000000001</v>
      </c>
    </row>
    <row r="150" spans="1:8" ht="15.75" customHeight="1" x14ac:dyDescent="0.3">
      <c r="A150" s="6" t="s">
        <v>134</v>
      </c>
      <c r="B150" s="5" t="s">
        <v>135</v>
      </c>
      <c r="C150" s="5" t="s">
        <v>368</v>
      </c>
      <c r="D150" s="6" t="s">
        <v>369</v>
      </c>
      <c r="E150" s="5">
        <v>2</v>
      </c>
      <c r="F150" s="5">
        <v>0.33300000000000002</v>
      </c>
      <c r="G150" s="5">
        <v>6</v>
      </c>
      <c r="H150" s="5">
        <v>0.28599999999999998</v>
      </c>
    </row>
    <row r="151" spans="1:8" ht="15.75" customHeight="1" x14ac:dyDescent="0.3">
      <c r="A151" s="8" t="s">
        <v>134</v>
      </c>
      <c r="B151" s="9" t="s">
        <v>135</v>
      </c>
      <c r="C151" s="9" t="s">
        <v>142</v>
      </c>
      <c r="D151" s="8" t="s">
        <v>143</v>
      </c>
      <c r="E151" s="9">
        <v>2</v>
      </c>
      <c r="F151" s="9">
        <v>0.33300000000000002</v>
      </c>
      <c r="G151" s="9">
        <v>6</v>
      </c>
      <c r="H151" s="9">
        <v>0.4</v>
      </c>
    </row>
    <row r="152" spans="1:8" ht="15.75" customHeight="1" x14ac:dyDescent="0.3">
      <c r="A152" s="6" t="s">
        <v>134</v>
      </c>
      <c r="B152" s="5" t="s">
        <v>135</v>
      </c>
      <c r="C152" s="5" t="s">
        <v>28</v>
      </c>
      <c r="D152" s="6" t="s">
        <v>29</v>
      </c>
      <c r="E152" s="5">
        <v>2</v>
      </c>
      <c r="F152" s="5">
        <v>0.2</v>
      </c>
      <c r="G152" s="5">
        <v>6</v>
      </c>
      <c r="H152" s="5">
        <v>0.25</v>
      </c>
    </row>
    <row r="153" spans="1:8" ht="15.75" customHeight="1" x14ac:dyDescent="0.3">
      <c r="A153" s="8" t="s">
        <v>134</v>
      </c>
      <c r="B153" s="9" t="s">
        <v>135</v>
      </c>
      <c r="C153" s="9" t="s">
        <v>366</v>
      </c>
      <c r="D153" s="8" t="s">
        <v>367</v>
      </c>
      <c r="E153" s="9">
        <v>2</v>
      </c>
      <c r="F153" s="9">
        <v>0.33300000000000002</v>
      </c>
      <c r="G153" s="9">
        <v>6</v>
      </c>
      <c r="H153" s="9">
        <v>0.5</v>
      </c>
    </row>
    <row r="154" spans="1:8" ht="15.75" customHeight="1" x14ac:dyDescent="0.3">
      <c r="A154" s="6" t="s">
        <v>134</v>
      </c>
      <c r="B154" s="5" t="s">
        <v>135</v>
      </c>
      <c r="C154" s="5" t="s">
        <v>92</v>
      </c>
      <c r="D154" s="6" t="s">
        <v>93</v>
      </c>
      <c r="E154" s="5">
        <v>2</v>
      </c>
      <c r="F154" s="5">
        <v>9.0999999999999998E-2</v>
      </c>
      <c r="G154" s="5">
        <v>6</v>
      </c>
      <c r="H154" s="5">
        <v>7.6999999999999999E-2</v>
      </c>
    </row>
    <row r="155" spans="1:8" ht="15.75" customHeight="1" x14ac:dyDescent="0.3">
      <c r="A155" s="8" t="s">
        <v>134</v>
      </c>
      <c r="B155" s="9" t="s">
        <v>135</v>
      </c>
      <c r="C155" s="9" t="s">
        <v>23</v>
      </c>
      <c r="D155" s="8" t="s">
        <v>24</v>
      </c>
      <c r="E155" s="9">
        <v>1</v>
      </c>
      <c r="F155" s="9">
        <v>0.111</v>
      </c>
      <c r="G155" s="9">
        <v>7</v>
      </c>
      <c r="H155" s="9">
        <v>3.7999999999999999E-2</v>
      </c>
    </row>
    <row r="156" spans="1:8" ht="15.75" customHeight="1" x14ac:dyDescent="0.3">
      <c r="A156" s="6" t="s">
        <v>134</v>
      </c>
      <c r="B156" s="5" t="s">
        <v>135</v>
      </c>
      <c r="C156" s="5" t="s">
        <v>376</v>
      </c>
      <c r="D156" s="6" t="s">
        <v>377</v>
      </c>
      <c r="E156" s="5">
        <v>1</v>
      </c>
      <c r="F156" s="5">
        <v>0.25</v>
      </c>
      <c r="G156" s="5">
        <v>7</v>
      </c>
      <c r="H156" s="5">
        <v>0.2</v>
      </c>
    </row>
    <row r="157" spans="1:8" ht="15.75" customHeight="1" x14ac:dyDescent="0.3">
      <c r="A157" s="8" t="s">
        <v>134</v>
      </c>
      <c r="B157" s="9" t="s">
        <v>135</v>
      </c>
      <c r="C157" s="9" t="s">
        <v>299</v>
      </c>
      <c r="D157" s="8" t="s">
        <v>300</v>
      </c>
      <c r="E157" s="9">
        <v>1</v>
      </c>
      <c r="F157" s="9">
        <v>0.25</v>
      </c>
      <c r="G157" s="9">
        <v>7</v>
      </c>
      <c r="H157" s="9">
        <v>8.3000000000000004E-2</v>
      </c>
    </row>
    <row r="158" spans="1:8" ht="15.75" customHeight="1" x14ac:dyDescent="0.3">
      <c r="A158" s="6" t="s">
        <v>134</v>
      </c>
      <c r="B158" s="5" t="s">
        <v>135</v>
      </c>
      <c r="C158" s="5" t="s">
        <v>362</v>
      </c>
      <c r="D158" s="6" t="s">
        <v>363</v>
      </c>
      <c r="E158" s="5">
        <v>1</v>
      </c>
      <c r="F158" s="5">
        <v>0.16700000000000001</v>
      </c>
      <c r="G158" s="5">
        <v>7</v>
      </c>
      <c r="H158" s="5">
        <v>7.0999999999999994E-2</v>
      </c>
    </row>
    <row r="159" spans="1:8" ht="15.75" customHeight="1" x14ac:dyDescent="0.3">
      <c r="A159" s="8" t="s">
        <v>134</v>
      </c>
      <c r="B159" s="9" t="s">
        <v>135</v>
      </c>
      <c r="C159" s="9" t="s">
        <v>34</v>
      </c>
      <c r="D159" s="8" t="s">
        <v>35</v>
      </c>
      <c r="E159" s="9">
        <v>1</v>
      </c>
      <c r="F159" s="9">
        <v>0.2</v>
      </c>
      <c r="G159" s="9">
        <v>7</v>
      </c>
      <c r="H159" s="9">
        <v>5.8999999999999997E-2</v>
      </c>
    </row>
    <row r="160" spans="1:8" ht="15.75" customHeight="1" x14ac:dyDescent="0.3">
      <c r="A160" s="6" t="s">
        <v>134</v>
      </c>
      <c r="B160" s="5" t="s">
        <v>135</v>
      </c>
      <c r="C160" s="5" t="s">
        <v>382</v>
      </c>
      <c r="D160" s="6" t="s">
        <v>383</v>
      </c>
      <c r="E160" s="5">
        <v>1</v>
      </c>
      <c r="F160" s="5">
        <v>0.2</v>
      </c>
      <c r="G160" s="5">
        <v>7</v>
      </c>
      <c r="H160" s="5">
        <v>0.111</v>
      </c>
    </row>
    <row r="161" spans="1:8" ht="15.75" customHeight="1" x14ac:dyDescent="0.3">
      <c r="A161" s="6" t="s">
        <v>146</v>
      </c>
      <c r="B161" s="5" t="s">
        <v>147</v>
      </c>
      <c r="C161" s="5" t="s">
        <v>140</v>
      </c>
      <c r="D161" s="6" t="s">
        <v>141</v>
      </c>
      <c r="E161" s="5">
        <v>15</v>
      </c>
      <c r="F161" s="5">
        <v>0.33300000000000002</v>
      </c>
      <c r="G161" s="5">
        <v>1</v>
      </c>
      <c r="H161" s="5">
        <v>0.7</v>
      </c>
    </row>
    <row r="162" spans="1:8" ht="15.75" customHeight="1" x14ac:dyDescent="0.3">
      <c r="A162" s="8" t="s">
        <v>146</v>
      </c>
      <c r="B162" s="9" t="s">
        <v>147</v>
      </c>
      <c r="C162" s="9" t="s">
        <v>20</v>
      </c>
      <c r="D162" s="8" t="s">
        <v>21</v>
      </c>
      <c r="E162" s="9">
        <v>13</v>
      </c>
      <c r="F162" s="9">
        <v>0.125</v>
      </c>
      <c r="G162" s="9">
        <v>2</v>
      </c>
      <c r="H162" s="9">
        <v>0.35099999999999998</v>
      </c>
    </row>
    <row r="163" spans="1:8" ht="15.75" customHeight="1" x14ac:dyDescent="0.3">
      <c r="A163" s="6" t="s">
        <v>146</v>
      </c>
      <c r="B163" s="5" t="s">
        <v>147</v>
      </c>
      <c r="C163" s="5" t="s">
        <v>15</v>
      </c>
      <c r="D163" s="6" t="s">
        <v>16</v>
      </c>
      <c r="E163" s="5">
        <v>11</v>
      </c>
      <c r="F163" s="5">
        <v>0.125</v>
      </c>
      <c r="G163" s="5">
        <v>3</v>
      </c>
      <c r="H163" s="5">
        <v>0.16200000000000001</v>
      </c>
    </row>
    <row r="164" spans="1:8" ht="15.75" customHeight="1" x14ac:dyDescent="0.3">
      <c r="A164" s="8" t="s">
        <v>146</v>
      </c>
      <c r="B164" s="9" t="s">
        <v>147</v>
      </c>
      <c r="C164" s="9" t="s">
        <v>37</v>
      </c>
      <c r="D164" s="8" t="s">
        <v>38</v>
      </c>
      <c r="E164" s="9">
        <v>10</v>
      </c>
      <c r="F164" s="9">
        <v>0.2</v>
      </c>
      <c r="G164" s="9">
        <v>4</v>
      </c>
      <c r="H164" s="9">
        <v>0.38500000000000001</v>
      </c>
    </row>
    <row r="165" spans="1:8" ht="15.75" customHeight="1" x14ac:dyDescent="0.3">
      <c r="A165" s="6" t="s">
        <v>146</v>
      </c>
      <c r="B165" s="5" t="s">
        <v>147</v>
      </c>
      <c r="C165" s="5" t="s">
        <v>26</v>
      </c>
      <c r="D165" s="6" t="s">
        <v>27</v>
      </c>
      <c r="E165" s="5">
        <v>8</v>
      </c>
      <c r="F165" s="5">
        <v>0.25</v>
      </c>
      <c r="G165" s="5">
        <v>5</v>
      </c>
      <c r="H165" s="5">
        <v>0.216</v>
      </c>
    </row>
    <row r="166" spans="1:8" ht="15.75" customHeight="1" x14ac:dyDescent="0.3">
      <c r="A166" s="8" t="s">
        <v>146</v>
      </c>
      <c r="B166" s="9" t="s">
        <v>147</v>
      </c>
      <c r="C166" s="9" t="s">
        <v>360</v>
      </c>
      <c r="D166" s="8" t="s">
        <v>361</v>
      </c>
      <c r="E166" s="9">
        <v>5</v>
      </c>
      <c r="F166" s="9">
        <v>0.2</v>
      </c>
      <c r="G166" s="9">
        <v>8</v>
      </c>
      <c r="H166" s="9">
        <v>0.16700000000000001</v>
      </c>
    </row>
    <row r="167" spans="1:8" ht="15.75" customHeight="1" x14ac:dyDescent="0.3">
      <c r="A167" s="6" t="s">
        <v>146</v>
      </c>
      <c r="B167" s="5" t="s">
        <v>147</v>
      </c>
      <c r="C167" s="5" t="s">
        <v>174</v>
      </c>
      <c r="D167" s="6" t="s">
        <v>175</v>
      </c>
      <c r="E167" s="5">
        <v>4</v>
      </c>
      <c r="F167" s="5">
        <v>0.25</v>
      </c>
      <c r="G167" s="5">
        <v>9</v>
      </c>
      <c r="H167" s="5">
        <v>0.21099999999999999</v>
      </c>
    </row>
    <row r="168" spans="1:8" ht="15.75" customHeight="1" x14ac:dyDescent="0.3">
      <c r="A168" s="8" t="s">
        <v>146</v>
      </c>
      <c r="B168" s="9" t="s">
        <v>147</v>
      </c>
      <c r="C168" s="9" t="s">
        <v>150</v>
      </c>
      <c r="D168" s="8" t="s">
        <v>151</v>
      </c>
      <c r="E168" s="9">
        <v>3</v>
      </c>
      <c r="F168" s="9">
        <v>0.33300000000000002</v>
      </c>
      <c r="G168" s="9">
        <v>10</v>
      </c>
      <c r="H168" s="9">
        <v>0.6</v>
      </c>
    </row>
    <row r="169" spans="1:8" ht="15.75" customHeight="1" x14ac:dyDescent="0.3">
      <c r="A169" s="6" t="s">
        <v>146</v>
      </c>
      <c r="B169" s="5" t="s">
        <v>147</v>
      </c>
      <c r="C169" s="5" t="s">
        <v>362</v>
      </c>
      <c r="D169" s="6" t="s">
        <v>363</v>
      </c>
      <c r="E169" s="5">
        <v>3</v>
      </c>
      <c r="F169" s="5">
        <v>0.16700000000000001</v>
      </c>
      <c r="G169" s="5">
        <v>10</v>
      </c>
      <c r="H169" s="5">
        <v>0.214</v>
      </c>
    </row>
    <row r="170" spans="1:8" ht="15.75" customHeight="1" x14ac:dyDescent="0.3">
      <c r="A170" s="8" t="s">
        <v>146</v>
      </c>
      <c r="B170" s="9" t="s">
        <v>147</v>
      </c>
      <c r="C170" s="9" t="s">
        <v>32</v>
      </c>
      <c r="D170" s="8" t="s">
        <v>33</v>
      </c>
      <c r="E170" s="9">
        <v>3</v>
      </c>
      <c r="F170" s="9">
        <v>9.0999999999999998E-2</v>
      </c>
      <c r="G170" s="9">
        <v>10</v>
      </c>
      <c r="H170" s="9">
        <v>0.15</v>
      </c>
    </row>
    <row r="171" spans="1:8" ht="15.75" customHeight="1" x14ac:dyDescent="0.3">
      <c r="A171" s="6" t="s">
        <v>146</v>
      </c>
      <c r="B171" s="5" t="s">
        <v>147</v>
      </c>
      <c r="C171" s="5" t="s">
        <v>152</v>
      </c>
      <c r="D171" s="6" t="s">
        <v>153</v>
      </c>
      <c r="E171" s="5">
        <v>3</v>
      </c>
      <c r="F171" s="5">
        <v>0.33300000000000002</v>
      </c>
      <c r="G171" s="5">
        <v>10</v>
      </c>
      <c r="H171" s="5">
        <v>0.375</v>
      </c>
    </row>
    <row r="172" spans="1:8" ht="15.75" customHeight="1" x14ac:dyDescent="0.3">
      <c r="A172" s="8" t="s">
        <v>146</v>
      </c>
      <c r="B172" s="9" t="s">
        <v>147</v>
      </c>
      <c r="C172" s="9" t="s">
        <v>374</v>
      </c>
      <c r="D172" s="8" t="s">
        <v>375</v>
      </c>
      <c r="E172" s="9">
        <v>2</v>
      </c>
      <c r="F172" s="9">
        <v>0.1</v>
      </c>
      <c r="G172" s="9">
        <v>11</v>
      </c>
      <c r="H172" s="9">
        <v>0.14299999999999999</v>
      </c>
    </row>
    <row r="173" spans="1:8" ht="15.75" customHeight="1" x14ac:dyDescent="0.3">
      <c r="A173" s="6" t="s">
        <v>146</v>
      </c>
      <c r="B173" s="5" t="s">
        <v>147</v>
      </c>
      <c r="C173" s="5" t="s">
        <v>178</v>
      </c>
      <c r="D173" s="6" t="s">
        <v>179</v>
      </c>
      <c r="E173" s="5">
        <v>2</v>
      </c>
      <c r="F173" s="5">
        <v>0.25</v>
      </c>
      <c r="G173" s="5">
        <v>11</v>
      </c>
      <c r="H173" s="5">
        <v>0.33300000000000002</v>
      </c>
    </row>
    <row r="174" spans="1:8" ht="15.75" customHeight="1" x14ac:dyDescent="0.3">
      <c r="A174" s="8" t="s">
        <v>146</v>
      </c>
      <c r="B174" s="9" t="s">
        <v>147</v>
      </c>
      <c r="C174" s="9" t="s">
        <v>394</v>
      </c>
      <c r="D174" s="8" t="s">
        <v>395</v>
      </c>
      <c r="E174" s="9">
        <v>3</v>
      </c>
      <c r="F174" s="9">
        <v>0.33300000000000002</v>
      </c>
      <c r="G174" s="9">
        <v>11</v>
      </c>
      <c r="H174" s="9">
        <v>0.5</v>
      </c>
    </row>
    <row r="175" spans="1:8" ht="15.75" customHeight="1" x14ac:dyDescent="0.3">
      <c r="A175" s="6" t="s">
        <v>146</v>
      </c>
      <c r="B175" s="5" t="s">
        <v>147</v>
      </c>
      <c r="C175" s="5" t="s">
        <v>364</v>
      </c>
      <c r="D175" s="6" t="s">
        <v>365</v>
      </c>
      <c r="E175" s="5">
        <v>2</v>
      </c>
      <c r="F175" s="5">
        <v>0.33300000000000002</v>
      </c>
      <c r="G175" s="5">
        <v>11</v>
      </c>
      <c r="H175" s="5">
        <v>0.5</v>
      </c>
    </row>
    <row r="176" spans="1:8" ht="15.75" customHeight="1" x14ac:dyDescent="0.3">
      <c r="A176" s="8" t="s">
        <v>146</v>
      </c>
      <c r="B176" s="9" t="s">
        <v>147</v>
      </c>
      <c r="C176" s="9" t="s">
        <v>18</v>
      </c>
      <c r="D176" s="8" t="s">
        <v>19</v>
      </c>
      <c r="E176" s="9">
        <v>2</v>
      </c>
      <c r="F176" s="9">
        <v>0.111</v>
      </c>
      <c r="G176" s="9">
        <v>11</v>
      </c>
      <c r="H176" s="9">
        <v>0.11799999999999999</v>
      </c>
    </row>
    <row r="177" spans="1:8" ht="15.75" customHeight="1" x14ac:dyDescent="0.3">
      <c r="A177" s="6" t="s">
        <v>146</v>
      </c>
      <c r="B177" s="5" t="s">
        <v>147</v>
      </c>
      <c r="C177" s="5" t="s">
        <v>142</v>
      </c>
      <c r="D177" s="6" t="s">
        <v>143</v>
      </c>
      <c r="E177" s="5">
        <v>2</v>
      </c>
      <c r="F177" s="5">
        <v>0.33300000000000002</v>
      </c>
      <c r="G177" s="5">
        <v>11</v>
      </c>
      <c r="H177" s="5">
        <v>0.4</v>
      </c>
    </row>
    <row r="178" spans="1:8" ht="15.75" customHeight="1" x14ac:dyDescent="0.3">
      <c r="A178" s="8" t="s">
        <v>146</v>
      </c>
      <c r="B178" s="9" t="s">
        <v>147</v>
      </c>
      <c r="C178" s="9" t="s">
        <v>23</v>
      </c>
      <c r="D178" s="8" t="s">
        <v>24</v>
      </c>
      <c r="E178" s="9">
        <v>3</v>
      </c>
      <c r="F178" s="9">
        <v>0.111</v>
      </c>
      <c r="G178" s="9">
        <v>11</v>
      </c>
      <c r="H178" s="9">
        <v>7.6999999999999999E-2</v>
      </c>
    </row>
    <row r="179" spans="1:8" ht="15.75" customHeight="1" x14ac:dyDescent="0.3">
      <c r="A179" s="6" t="s">
        <v>146</v>
      </c>
      <c r="B179" s="5" t="s">
        <v>147</v>
      </c>
      <c r="C179" s="5" t="s">
        <v>176</v>
      </c>
      <c r="D179" s="6" t="s">
        <v>177</v>
      </c>
      <c r="E179" s="5">
        <v>2</v>
      </c>
      <c r="F179" s="5">
        <v>0.25</v>
      </c>
      <c r="G179" s="5">
        <v>11</v>
      </c>
      <c r="H179" s="5">
        <v>0.14299999999999999</v>
      </c>
    </row>
    <row r="180" spans="1:8" ht="15.75" customHeight="1" x14ac:dyDescent="0.3">
      <c r="A180" s="8" t="s">
        <v>146</v>
      </c>
      <c r="B180" s="9" t="s">
        <v>147</v>
      </c>
      <c r="C180" s="9" t="s">
        <v>376</v>
      </c>
      <c r="D180" s="8" t="s">
        <v>377</v>
      </c>
      <c r="E180" s="9">
        <v>2</v>
      </c>
      <c r="F180" s="9">
        <v>0.25</v>
      </c>
      <c r="G180" s="9">
        <v>11</v>
      </c>
      <c r="H180" s="9">
        <v>0.4</v>
      </c>
    </row>
    <row r="181" spans="1:8" ht="15.75" customHeight="1" x14ac:dyDescent="0.3">
      <c r="A181" s="6" t="s">
        <v>146</v>
      </c>
      <c r="B181" s="5" t="s">
        <v>147</v>
      </c>
      <c r="C181" s="5" t="s">
        <v>242</v>
      </c>
      <c r="D181" s="6" t="s">
        <v>243</v>
      </c>
      <c r="E181" s="5">
        <v>2</v>
      </c>
      <c r="F181" s="5">
        <v>0.25</v>
      </c>
      <c r="G181" s="5">
        <v>11</v>
      </c>
      <c r="H181" s="5">
        <v>0.4</v>
      </c>
    </row>
    <row r="182" spans="1:8" ht="15.75" customHeight="1" x14ac:dyDescent="0.3">
      <c r="A182" s="8" t="s">
        <v>146</v>
      </c>
      <c r="B182" s="9" t="s">
        <v>147</v>
      </c>
      <c r="C182" s="9" t="s">
        <v>336</v>
      </c>
      <c r="D182" s="8" t="s">
        <v>337</v>
      </c>
      <c r="E182" s="9">
        <v>1</v>
      </c>
      <c r="F182" s="9">
        <v>0.111</v>
      </c>
      <c r="G182" s="9">
        <v>12</v>
      </c>
      <c r="H182" s="9">
        <v>5.8999999999999997E-2</v>
      </c>
    </row>
    <row r="183" spans="1:8" ht="15.75" customHeight="1" x14ac:dyDescent="0.3">
      <c r="A183" s="6" t="s">
        <v>146</v>
      </c>
      <c r="B183" s="5" t="s">
        <v>147</v>
      </c>
      <c r="C183" s="5" t="s">
        <v>92</v>
      </c>
      <c r="D183" s="6" t="s">
        <v>93</v>
      </c>
      <c r="E183" s="5">
        <v>1</v>
      </c>
      <c r="F183" s="5">
        <v>9.0999999999999998E-2</v>
      </c>
      <c r="G183" s="5">
        <v>12</v>
      </c>
      <c r="H183" s="5">
        <v>3.7999999999999999E-2</v>
      </c>
    </row>
    <row r="184" spans="1:8" ht="15.75" customHeight="1" x14ac:dyDescent="0.3">
      <c r="A184" s="8" t="s">
        <v>146</v>
      </c>
      <c r="B184" s="9" t="s">
        <v>147</v>
      </c>
      <c r="C184" s="9" t="s">
        <v>144</v>
      </c>
      <c r="D184" s="8" t="s">
        <v>145</v>
      </c>
      <c r="E184" s="9">
        <v>1</v>
      </c>
      <c r="F184" s="9">
        <v>0.2</v>
      </c>
      <c r="G184" s="9">
        <v>12</v>
      </c>
      <c r="H184" s="9">
        <v>6.7000000000000004E-2</v>
      </c>
    </row>
    <row r="185" spans="1:8" ht="15.75" customHeight="1" x14ac:dyDescent="0.3">
      <c r="A185" s="6" t="s">
        <v>146</v>
      </c>
      <c r="B185" s="5" t="s">
        <v>147</v>
      </c>
      <c r="C185" s="5" t="s">
        <v>148</v>
      </c>
      <c r="D185" s="6" t="s">
        <v>149</v>
      </c>
      <c r="E185" s="5">
        <v>1</v>
      </c>
      <c r="F185" s="5">
        <v>9.0999999999999998E-2</v>
      </c>
      <c r="G185" s="5">
        <v>12</v>
      </c>
      <c r="H185" s="5">
        <v>5.6000000000000001E-2</v>
      </c>
    </row>
    <row r="186" spans="1:8" ht="15.75" customHeight="1" x14ac:dyDescent="0.3">
      <c r="A186" s="8" t="s">
        <v>146</v>
      </c>
      <c r="B186" s="9" t="s">
        <v>147</v>
      </c>
      <c r="C186" s="9" t="s">
        <v>28</v>
      </c>
      <c r="D186" s="8" t="s">
        <v>29</v>
      </c>
      <c r="E186" s="9">
        <v>1</v>
      </c>
      <c r="F186" s="9">
        <v>0.2</v>
      </c>
      <c r="G186" s="9">
        <v>12</v>
      </c>
      <c r="H186" s="9">
        <v>0.125</v>
      </c>
    </row>
    <row r="187" spans="1:8" ht="15.75" customHeight="1" x14ac:dyDescent="0.3">
      <c r="A187" s="6" t="s">
        <v>146</v>
      </c>
      <c r="B187" s="5" t="s">
        <v>147</v>
      </c>
      <c r="C187" s="5" t="s">
        <v>299</v>
      </c>
      <c r="D187" s="6" t="s">
        <v>300</v>
      </c>
      <c r="E187" s="5">
        <v>1</v>
      </c>
      <c r="F187" s="5">
        <v>0.25</v>
      </c>
      <c r="G187" s="5">
        <v>12</v>
      </c>
      <c r="H187" s="5">
        <v>8.3000000000000004E-2</v>
      </c>
    </row>
    <row r="188" spans="1:8" ht="15.75" customHeight="1" x14ac:dyDescent="0.3">
      <c r="A188" s="8" t="s">
        <v>146</v>
      </c>
      <c r="B188" s="9" t="s">
        <v>147</v>
      </c>
      <c r="C188" s="9" t="s">
        <v>96</v>
      </c>
      <c r="D188" s="8" t="s">
        <v>97</v>
      </c>
      <c r="E188" s="9">
        <v>1</v>
      </c>
      <c r="F188" s="9">
        <v>0.2</v>
      </c>
      <c r="G188" s="9">
        <v>12</v>
      </c>
      <c r="H188" s="9">
        <v>7.0999999999999994E-2</v>
      </c>
    </row>
    <row r="189" spans="1:8" ht="15.75" customHeight="1" x14ac:dyDescent="0.3">
      <c r="A189" s="6" t="s">
        <v>154</v>
      </c>
      <c r="B189" s="5" t="s">
        <v>155</v>
      </c>
      <c r="C189" s="5" t="s">
        <v>162</v>
      </c>
      <c r="D189" s="6" t="s">
        <v>163</v>
      </c>
      <c r="E189" s="5">
        <v>4</v>
      </c>
      <c r="F189" s="5">
        <v>0.33300000000000002</v>
      </c>
      <c r="G189" s="5">
        <v>7</v>
      </c>
      <c r="H189" s="5">
        <v>0.66700000000000004</v>
      </c>
    </row>
    <row r="190" spans="1:8" ht="15.75" customHeight="1" x14ac:dyDescent="0.3">
      <c r="A190" s="8" t="s">
        <v>154</v>
      </c>
      <c r="B190" s="9" t="s">
        <v>155</v>
      </c>
      <c r="C190" s="9" t="s">
        <v>156</v>
      </c>
      <c r="D190" s="8" t="s">
        <v>157</v>
      </c>
      <c r="E190" s="9">
        <v>3</v>
      </c>
      <c r="F190" s="9">
        <v>0.2</v>
      </c>
      <c r="G190" s="9">
        <v>8</v>
      </c>
      <c r="H190" s="9">
        <v>0.214</v>
      </c>
    </row>
    <row r="191" spans="1:8" ht="15.75" customHeight="1" x14ac:dyDescent="0.3">
      <c r="A191" s="6" t="s">
        <v>154</v>
      </c>
      <c r="B191" s="5" t="s">
        <v>155</v>
      </c>
      <c r="C191" s="5" t="s">
        <v>158</v>
      </c>
      <c r="D191" s="6" t="s">
        <v>159</v>
      </c>
      <c r="E191" s="5">
        <v>2</v>
      </c>
      <c r="F191" s="5">
        <v>0.2</v>
      </c>
      <c r="G191" s="5">
        <v>9</v>
      </c>
      <c r="H191" s="5">
        <v>5.3999999999999999E-2</v>
      </c>
    </row>
    <row r="192" spans="1:8" ht="15.75" customHeight="1" x14ac:dyDescent="0.3">
      <c r="A192" s="8" t="s">
        <v>154</v>
      </c>
      <c r="B192" s="9" t="s">
        <v>155</v>
      </c>
      <c r="C192" s="9" t="s">
        <v>168</v>
      </c>
      <c r="D192" s="8" t="s">
        <v>169</v>
      </c>
      <c r="E192" s="9">
        <v>4</v>
      </c>
      <c r="F192" s="9">
        <v>0.25</v>
      </c>
      <c r="G192" s="9">
        <v>9</v>
      </c>
      <c r="H192" s="9">
        <v>0.222</v>
      </c>
    </row>
    <row r="193" spans="1:8" ht="15.75" customHeight="1" x14ac:dyDescent="0.3">
      <c r="A193" s="6" t="s">
        <v>154</v>
      </c>
      <c r="B193" s="5" t="s">
        <v>155</v>
      </c>
      <c r="C193" s="5" t="s">
        <v>78</v>
      </c>
      <c r="D193" s="6" t="s">
        <v>79</v>
      </c>
      <c r="E193" s="5">
        <v>2</v>
      </c>
      <c r="F193" s="5">
        <v>0.05</v>
      </c>
      <c r="G193" s="5">
        <v>9</v>
      </c>
      <c r="H193" s="5">
        <v>3.5999999999999997E-2</v>
      </c>
    </row>
    <row r="194" spans="1:8" ht="15.75" customHeight="1" x14ac:dyDescent="0.3">
      <c r="A194" s="8" t="s">
        <v>154</v>
      </c>
      <c r="B194" s="9" t="s">
        <v>155</v>
      </c>
      <c r="C194" s="9" t="s">
        <v>160</v>
      </c>
      <c r="D194" s="8" t="s">
        <v>161</v>
      </c>
      <c r="E194" s="9">
        <v>2</v>
      </c>
      <c r="F194" s="9">
        <v>0.33300000000000002</v>
      </c>
      <c r="G194" s="9">
        <v>9</v>
      </c>
      <c r="H194" s="9">
        <v>0.5</v>
      </c>
    </row>
    <row r="195" spans="1:8" ht="15.75" customHeight="1" x14ac:dyDescent="0.3">
      <c r="A195" s="6" t="s">
        <v>154</v>
      </c>
      <c r="B195" s="5" t="s">
        <v>155</v>
      </c>
      <c r="C195" s="5" t="s">
        <v>166</v>
      </c>
      <c r="D195" s="6" t="s">
        <v>167</v>
      </c>
      <c r="E195" s="5">
        <v>1</v>
      </c>
      <c r="F195" s="5">
        <v>0.33300000000000002</v>
      </c>
      <c r="G195" s="5">
        <v>10</v>
      </c>
      <c r="H195" s="5">
        <v>0.2</v>
      </c>
    </row>
    <row r="196" spans="1:8" ht="15.75" customHeight="1" x14ac:dyDescent="0.3">
      <c r="A196" s="8" t="s">
        <v>154</v>
      </c>
      <c r="B196" s="9" t="s">
        <v>155</v>
      </c>
      <c r="C196" s="9" t="s">
        <v>82</v>
      </c>
      <c r="D196" s="8" t="s">
        <v>83</v>
      </c>
      <c r="E196" s="9">
        <v>1</v>
      </c>
      <c r="F196" s="9">
        <v>0.2</v>
      </c>
      <c r="G196" s="9">
        <v>10</v>
      </c>
      <c r="H196" s="9">
        <v>9.0999999999999998E-2</v>
      </c>
    </row>
    <row r="197" spans="1:8" ht="15.75" customHeight="1" x14ac:dyDescent="0.3">
      <c r="A197" s="6" t="s">
        <v>154</v>
      </c>
      <c r="B197" s="5" t="s">
        <v>155</v>
      </c>
      <c r="C197" s="5" t="s">
        <v>283</v>
      </c>
      <c r="D197" s="6" t="s">
        <v>284</v>
      </c>
      <c r="E197" s="5">
        <v>1</v>
      </c>
      <c r="F197" s="5">
        <v>0.33300000000000002</v>
      </c>
      <c r="G197" s="5">
        <v>10</v>
      </c>
      <c r="H197" s="5">
        <v>0.111</v>
      </c>
    </row>
    <row r="198" spans="1:8" ht="15.75" customHeight="1" x14ac:dyDescent="0.3">
      <c r="A198" s="8" t="s">
        <v>154</v>
      </c>
      <c r="B198" s="9" t="s">
        <v>155</v>
      </c>
      <c r="C198" s="9" t="s">
        <v>285</v>
      </c>
      <c r="D198" s="8" t="s">
        <v>286</v>
      </c>
      <c r="E198" s="9">
        <v>1</v>
      </c>
      <c r="F198" s="9">
        <v>0.25</v>
      </c>
      <c r="G198" s="9">
        <v>10</v>
      </c>
      <c r="H198" s="9">
        <v>3.5999999999999997E-2</v>
      </c>
    </row>
    <row r="199" spans="1:8" ht="15.75" customHeight="1" x14ac:dyDescent="0.3">
      <c r="A199" s="6" t="s">
        <v>154</v>
      </c>
      <c r="B199" s="5" t="s">
        <v>155</v>
      </c>
      <c r="C199" s="5" t="s">
        <v>90</v>
      </c>
      <c r="D199" s="6" t="s">
        <v>91</v>
      </c>
      <c r="E199" s="5">
        <v>1</v>
      </c>
      <c r="F199" s="5">
        <v>9.0999999999999998E-2</v>
      </c>
      <c r="G199" s="5">
        <v>10</v>
      </c>
      <c r="H199" s="5">
        <v>1.9E-2</v>
      </c>
    </row>
    <row r="200" spans="1:8" ht="15.75" customHeight="1" x14ac:dyDescent="0.3">
      <c r="A200" s="8" t="s">
        <v>154</v>
      </c>
      <c r="B200" s="9" t="s">
        <v>155</v>
      </c>
      <c r="C200" s="9" t="s">
        <v>164</v>
      </c>
      <c r="D200" s="8" t="s">
        <v>165</v>
      </c>
      <c r="E200" s="9">
        <v>2</v>
      </c>
      <c r="F200" s="9">
        <v>0.16700000000000001</v>
      </c>
      <c r="G200" s="9">
        <v>10</v>
      </c>
      <c r="H200" s="9">
        <v>0.125</v>
      </c>
    </row>
    <row r="201" spans="1:8" ht="15.75" customHeight="1" x14ac:dyDescent="0.3">
      <c r="A201" s="6" t="s">
        <v>154</v>
      </c>
      <c r="B201" s="5" t="s">
        <v>155</v>
      </c>
      <c r="C201" s="5" t="s">
        <v>218</v>
      </c>
      <c r="D201" s="6" t="s">
        <v>219</v>
      </c>
      <c r="E201" s="5">
        <v>1</v>
      </c>
      <c r="F201" s="5">
        <v>0.33300000000000002</v>
      </c>
      <c r="G201" s="5">
        <v>10</v>
      </c>
      <c r="H201" s="5">
        <v>9.0999999999999998E-2</v>
      </c>
    </row>
    <row r="202" spans="1:8" ht="15.75" customHeight="1" x14ac:dyDescent="0.3">
      <c r="A202" s="8" t="s">
        <v>154</v>
      </c>
      <c r="B202" s="9" t="s">
        <v>155</v>
      </c>
      <c r="C202" s="9" t="s">
        <v>170</v>
      </c>
      <c r="D202" s="8" t="s">
        <v>171</v>
      </c>
      <c r="E202" s="9">
        <v>1</v>
      </c>
      <c r="F202" s="9">
        <v>0.33300000000000002</v>
      </c>
      <c r="G202" s="9">
        <v>10</v>
      </c>
      <c r="H202" s="9">
        <v>6.7000000000000004E-2</v>
      </c>
    </row>
    <row r="203" spans="1:8" ht="15.75" customHeight="1" x14ac:dyDescent="0.3">
      <c r="A203" s="6" t="s">
        <v>172</v>
      </c>
      <c r="B203" s="5" t="s">
        <v>173</v>
      </c>
      <c r="C203" s="5" t="s">
        <v>15</v>
      </c>
      <c r="D203" s="6" t="s">
        <v>16</v>
      </c>
      <c r="E203" s="5">
        <v>14</v>
      </c>
      <c r="F203" s="5">
        <v>0.125</v>
      </c>
      <c r="G203" s="5">
        <v>3</v>
      </c>
      <c r="H203" s="5">
        <v>0.20599999999999999</v>
      </c>
    </row>
    <row r="204" spans="1:8" ht="15.75" customHeight="1" x14ac:dyDescent="0.3">
      <c r="A204" s="8" t="s">
        <v>172</v>
      </c>
      <c r="B204" s="9" t="s">
        <v>173</v>
      </c>
      <c r="C204" s="9" t="s">
        <v>174</v>
      </c>
      <c r="D204" s="8" t="s">
        <v>175</v>
      </c>
      <c r="E204" s="9">
        <v>12</v>
      </c>
      <c r="F204" s="9">
        <v>0.25</v>
      </c>
      <c r="G204" s="9">
        <v>4</v>
      </c>
      <c r="H204" s="9">
        <v>0.63200000000000001</v>
      </c>
    </row>
    <row r="205" spans="1:8" ht="15.75" customHeight="1" x14ac:dyDescent="0.3">
      <c r="A205" s="6" t="s">
        <v>172</v>
      </c>
      <c r="B205" s="5" t="s">
        <v>173</v>
      </c>
      <c r="C205" s="5" t="s">
        <v>360</v>
      </c>
      <c r="D205" s="6" t="s">
        <v>361</v>
      </c>
      <c r="E205" s="5">
        <v>11</v>
      </c>
      <c r="F205" s="5">
        <v>0.2</v>
      </c>
      <c r="G205" s="5">
        <v>5</v>
      </c>
      <c r="H205" s="5">
        <v>0.36699999999999999</v>
      </c>
    </row>
    <row r="206" spans="1:8" ht="15.75" customHeight="1" x14ac:dyDescent="0.3">
      <c r="A206" s="8" t="s">
        <v>172</v>
      </c>
      <c r="B206" s="9" t="s">
        <v>173</v>
      </c>
      <c r="C206" s="9" t="s">
        <v>176</v>
      </c>
      <c r="D206" s="8" t="s">
        <v>177</v>
      </c>
      <c r="E206" s="9">
        <v>10</v>
      </c>
      <c r="F206" s="9">
        <v>0.25</v>
      </c>
      <c r="G206" s="9">
        <v>6</v>
      </c>
      <c r="H206" s="9">
        <v>0.71399999999999997</v>
      </c>
    </row>
    <row r="207" spans="1:8" ht="15.75" customHeight="1" x14ac:dyDescent="0.3">
      <c r="A207" s="6" t="s">
        <v>172</v>
      </c>
      <c r="B207" s="5" t="s">
        <v>173</v>
      </c>
      <c r="C207" s="5" t="s">
        <v>94</v>
      </c>
      <c r="D207" s="6" t="s">
        <v>95</v>
      </c>
      <c r="E207" s="5">
        <v>4</v>
      </c>
      <c r="F207" s="5">
        <v>0.1</v>
      </c>
      <c r="G207" s="5">
        <v>9</v>
      </c>
      <c r="H207" s="5">
        <v>0.19</v>
      </c>
    </row>
    <row r="208" spans="1:8" ht="15.75" customHeight="1" x14ac:dyDescent="0.3">
      <c r="A208" s="8" t="s">
        <v>172</v>
      </c>
      <c r="B208" s="9" t="s">
        <v>173</v>
      </c>
      <c r="C208" s="9" t="s">
        <v>362</v>
      </c>
      <c r="D208" s="8" t="s">
        <v>363</v>
      </c>
      <c r="E208" s="9">
        <v>4</v>
      </c>
      <c r="F208" s="9">
        <v>0.16700000000000001</v>
      </c>
      <c r="G208" s="9">
        <v>9</v>
      </c>
      <c r="H208" s="9">
        <v>0.28599999999999998</v>
      </c>
    </row>
    <row r="209" spans="1:8" ht="15.75" customHeight="1" x14ac:dyDescent="0.3">
      <c r="A209" s="6" t="s">
        <v>172</v>
      </c>
      <c r="B209" s="5" t="s">
        <v>173</v>
      </c>
      <c r="C209" s="5" t="s">
        <v>34</v>
      </c>
      <c r="D209" s="6" t="s">
        <v>35</v>
      </c>
      <c r="E209" s="5">
        <v>3</v>
      </c>
      <c r="F209" s="5">
        <v>0.2</v>
      </c>
      <c r="G209" s="5">
        <v>10</v>
      </c>
      <c r="H209" s="5">
        <v>0.17599999999999999</v>
      </c>
    </row>
    <row r="210" spans="1:8" ht="15.75" customHeight="1" x14ac:dyDescent="0.3">
      <c r="A210" s="8" t="s">
        <v>172</v>
      </c>
      <c r="B210" s="9" t="s">
        <v>173</v>
      </c>
      <c r="C210" s="9" t="s">
        <v>98</v>
      </c>
      <c r="D210" s="8" t="s">
        <v>99</v>
      </c>
      <c r="E210" s="9">
        <v>3</v>
      </c>
      <c r="F210" s="9">
        <v>0.33300000000000002</v>
      </c>
      <c r="G210" s="9">
        <v>10</v>
      </c>
      <c r="H210" s="9">
        <v>0.42899999999999999</v>
      </c>
    </row>
    <row r="211" spans="1:8" ht="15.75" customHeight="1" x14ac:dyDescent="0.3">
      <c r="A211" s="6" t="s">
        <v>172</v>
      </c>
      <c r="B211" s="5" t="s">
        <v>173</v>
      </c>
      <c r="C211" s="5" t="s">
        <v>18</v>
      </c>
      <c r="D211" s="6" t="s">
        <v>19</v>
      </c>
      <c r="E211" s="5">
        <v>2</v>
      </c>
      <c r="F211" s="5">
        <v>0.111</v>
      </c>
      <c r="G211" s="5">
        <v>11</v>
      </c>
      <c r="H211" s="5">
        <v>0.11799999999999999</v>
      </c>
    </row>
    <row r="212" spans="1:8" ht="15.75" customHeight="1" x14ac:dyDescent="0.3">
      <c r="A212" s="8" t="s">
        <v>172</v>
      </c>
      <c r="B212" s="9" t="s">
        <v>173</v>
      </c>
      <c r="C212" s="9" t="s">
        <v>178</v>
      </c>
      <c r="D212" s="8" t="s">
        <v>179</v>
      </c>
      <c r="E212" s="9">
        <v>2</v>
      </c>
      <c r="F212" s="9">
        <v>0.25</v>
      </c>
      <c r="G212" s="9">
        <v>11</v>
      </c>
      <c r="H212" s="9">
        <v>0.33300000000000002</v>
      </c>
    </row>
    <row r="213" spans="1:8" ht="15.75" customHeight="1" x14ac:dyDescent="0.3">
      <c r="A213" s="6" t="s">
        <v>172</v>
      </c>
      <c r="B213" s="5" t="s">
        <v>173</v>
      </c>
      <c r="C213" s="5" t="s">
        <v>20</v>
      </c>
      <c r="D213" s="6" t="s">
        <v>21</v>
      </c>
      <c r="E213" s="5">
        <v>2</v>
      </c>
      <c r="F213" s="5">
        <v>0.125</v>
      </c>
      <c r="G213" s="5">
        <v>11</v>
      </c>
      <c r="H213" s="5">
        <v>5.3999999999999999E-2</v>
      </c>
    </row>
    <row r="214" spans="1:8" ht="15.75" customHeight="1" x14ac:dyDescent="0.3">
      <c r="A214" s="8" t="s">
        <v>172</v>
      </c>
      <c r="B214" s="9" t="s">
        <v>173</v>
      </c>
      <c r="C214" s="9" t="s">
        <v>88</v>
      </c>
      <c r="D214" s="8" t="s">
        <v>89</v>
      </c>
      <c r="E214" s="9">
        <v>2</v>
      </c>
      <c r="F214" s="9">
        <v>0.1</v>
      </c>
      <c r="G214" s="9">
        <v>11</v>
      </c>
      <c r="H214" s="9">
        <v>9.0999999999999998E-2</v>
      </c>
    </row>
    <row r="215" spans="1:8" ht="15.75" customHeight="1" x14ac:dyDescent="0.3">
      <c r="A215" s="6" t="s">
        <v>172</v>
      </c>
      <c r="B215" s="5" t="s">
        <v>173</v>
      </c>
      <c r="C215" s="5" t="s">
        <v>370</v>
      </c>
      <c r="D215" s="6" t="s">
        <v>371</v>
      </c>
      <c r="E215" s="5">
        <v>3</v>
      </c>
      <c r="F215" s="5">
        <v>0.33300000000000002</v>
      </c>
      <c r="G215" s="5">
        <v>11</v>
      </c>
      <c r="H215" s="5">
        <v>0.25</v>
      </c>
    </row>
    <row r="216" spans="1:8" ht="15.75" customHeight="1" x14ac:dyDescent="0.3">
      <c r="A216" s="8" t="s">
        <v>172</v>
      </c>
      <c r="B216" s="9" t="s">
        <v>173</v>
      </c>
      <c r="C216" s="9" t="s">
        <v>32</v>
      </c>
      <c r="D216" s="8" t="s">
        <v>33</v>
      </c>
      <c r="E216" s="9">
        <v>2</v>
      </c>
      <c r="F216" s="9">
        <v>9.0999999999999998E-2</v>
      </c>
      <c r="G216" s="9">
        <v>11</v>
      </c>
      <c r="H216" s="9">
        <v>0.1</v>
      </c>
    </row>
    <row r="217" spans="1:8" ht="15.75" customHeight="1" x14ac:dyDescent="0.3">
      <c r="A217" s="6" t="s">
        <v>172</v>
      </c>
      <c r="B217" s="5" t="s">
        <v>173</v>
      </c>
      <c r="C217" s="5" t="s">
        <v>144</v>
      </c>
      <c r="D217" s="6" t="s">
        <v>145</v>
      </c>
      <c r="E217" s="5">
        <v>1</v>
      </c>
      <c r="F217" s="5">
        <v>0.2</v>
      </c>
      <c r="G217" s="5">
        <v>12</v>
      </c>
      <c r="H217" s="5">
        <v>6.7000000000000004E-2</v>
      </c>
    </row>
    <row r="218" spans="1:8" ht="15.75" customHeight="1" x14ac:dyDescent="0.3">
      <c r="A218" s="8" t="s">
        <v>172</v>
      </c>
      <c r="B218" s="9" t="s">
        <v>173</v>
      </c>
      <c r="C218" s="9" t="s">
        <v>180</v>
      </c>
      <c r="D218" s="8" t="s">
        <v>181</v>
      </c>
      <c r="E218" s="9">
        <v>1</v>
      </c>
      <c r="F218" s="9">
        <v>0.16700000000000001</v>
      </c>
      <c r="G218" s="9">
        <v>12</v>
      </c>
      <c r="H218" s="9">
        <v>7.6999999999999999E-2</v>
      </c>
    </row>
    <row r="219" spans="1:8" ht="15.75" customHeight="1" x14ac:dyDescent="0.3">
      <c r="A219" s="6" t="s">
        <v>172</v>
      </c>
      <c r="B219" s="5" t="s">
        <v>173</v>
      </c>
      <c r="C219" s="5" t="s">
        <v>142</v>
      </c>
      <c r="D219" s="6" t="s">
        <v>143</v>
      </c>
      <c r="E219" s="5">
        <v>1</v>
      </c>
      <c r="F219" s="5">
        <v>0.33300000000000002</v>
      </c>
      <c r="G219" s="5">
        <v>12</v>
      </c>
      <c r="H219" s="5">
        <v>0.2</v>
      </c>
    </row>
    <row r="220" spans="1:8" ht="15.75" customHeight="1" x14ac:dyDescent="0.3">
      <c r="A220" s="8" t="s">
        <v>172</v>
      </c>
      <c r="B220" s="9" t="s">
        <v>173</v>
      </c>
      <c r="C220" s="9" t="s">
        <v>90</v>
      </c>
      <c r="D220" s="8" t="s">
        <v>91</v>
      </c>
      <c r="E220" s="9">
        <v>1</v>
      </c>
      <c r="F220" s="9">
        <v>9.0999999999999998E-2</v>
      </c>
      <c r="G220" s="9">
        <v>12</v>
      </c>
      <c r="H220" s="9">
        <v>1.9E-2</v>
      </c>
    </row>
    <row r="221" spans="1:8" ht="15.75" customHeight="1" x14ac:dyDescent="0.3">
      <c r="A221" s="6" t="s">
        <v>172</v>
      </c>
      <c r="B221" s="5" t="s">
        <v>173</v>
      </c>
      <c r="C221" s="5" t="s">
        <v>376</v>
      </c>
      <c r="D221" s="6" t="s">
        <v>377</v>
      </c>
      <c r="E221" s="5">
        <v>1</v>
      </c>
      <c r="F221" s="5">
        <v>0.25</v>
      </c>
      <c r="G221" s="5">
        <v>12</v>
      </c>
      <c r="H221" s="5">
        <v>0.2</v>
      </c>
    </row>
    <row r="222" spans="1:8" ht="15.75" customHeight="1" x14ac:dyDescent="0.3">
      <c r="A222" s="6" t="s">
        <v>182</v>
      </c>
      <c r="B222" s="5" t="s">
        <v>183</v>
      </c>
      <c r="C222" s="5" t="s">
        <v>184</v>
      </c>
      <c r="D222" s="6" t="s">
        <v>185</v>
      </c>
      <c r="E222" s="5">
        <v>9</v>
      </c>
      <c r="F222" s="5">
        <v>0.33300000000000002</v>
      </c>
      <c r="G222" s="5">
        <v>1</v>
      </c>
      <c r="H222" s="5">
        <v>0.69199999999999995</v>
      </c>
    </row>
    <row r="223" spans="1:8" ht="15.75" customHeight="1" x14ac:dyDescent="0.3">
      <c r="A223" s="8" t="s">
        <v>182</v>
      </c>
      <c r="B223" s="9" t="s">
        <v>183</v>
      </c>
      <c r="C223" s="9" t="s">
        <v>186</v>
      </c>
      <c r="D223" s="8" t="s">
        <v>187</v>
      </c>
      <c r="E223" s="9">
        <v>7</v>
      </c>
      <c r="F223" s="9">
        <v>0.25</v>
      </c>
      <c r="G223" s="9">
        <v>2</v>
      </c>
      <c r="H223" s="9">
        <v>0.58299999999999996</v>
      </c>
    </row>
    <row r="224" spans="1:8" ht="15.75" customHeight="1" x14ac:dyDescent="0.3">
      <c r="A224" s="6" t="s">
        <v>182</v>
      </c>
      <c r="B224" s="5" t="s">
        <v>183</v>
      </c>
      <c r="C224" s="5" t="s">
        <v>188</v>
      </c>
      <c r="D224" s="6" t="s">
        <v>189</v>
      </c>
      <c r="E224" s="5">
        <v>7</v>
      </c>
      <c r="F224" s="5">
        <v>0.14299999999999999</v>
      </c>
      <c r="G224" s="5">
        <v>2</v>
      </c>
      <c r="H224" s="5">
        <v>0.121</v>
      </c>
    </row>
    <row r="225" spans="1:8" ht="15.75" customHeight="1" x14ac:dyDescent="0.3">
      <c r="A225" s="8" t="s">
        <v>182</v>
      </c>
      <c r="B225" s="9" t="s">
        <v>183</v>
      </c>
      <c r="C225" s="9" t="s">
        <v>46</v>
      </c>
      <c r="D225" s="8" t="s">
        <v>47</v>
      </c>
      <c r="E225" s="9">
        <v>7</v>
      </c>
      <c r="F225" s="9">
        <v>0.14299999999999999</v>
      </c>
      <c r="G225" s="9">
        <v>2</v>
      </c>
      <c r="H225" s="9">
        <v>0.35</v>
      </c>
    </row>
    <row r="226" spans="1:8" ht="15.75" customHeight="1" x14ac:dyDescent="0.3">
      <c r="A226" s="6" t="s">
        <v>182</v>
      </c>
      <c r="B226" s="5" t="s">
        <v>183</v>
      </c>
      <c r="C226" s="5" t="s">
        <v>190</v>
      </c>
      <c r="D226" s="6" t="s">
        <v>191</v>
      </c>
      <c r="E226" s="5">
        <v>7</v>
      </c>
      <c r="F226" s="5">
        <v>0.33300000000000002</v>
      </c>
      <c r="G226" s="5">
        <v>2</v>
      </c>
      <c r="H226" s="5">
        <v>0.63600000000000001</v>
      </c>
    </row>
    <row r="227" spans="1:8" ht="15.75" customHeight="1" x14ac:dyDescent="0.3">
      <c r="A227" s="8" t="s">
        <v>182</v>
      </c>
      <c r="B227" s="9" t="s">
        <v>183</v>
      </c>
      <c r="C227" s="9" t="s">
        <v>88</v>
      </c>
      <c r="D227" s="8" t="s">
        <v>89</v>
      </c>
      <c r="E227" s="9">
        <v>10</v>
      </c>
      <c r="F227" s="9">
        <v>0.1</v>
      </c>
      <c r="G227" s="9">
        <v>2</v>
      </c>
      <c r="H227" s="9">
        <v>0.318</v>
      </c>
    </row>
    <row r="228" spans="1:8" ht="15.75" customHeight="1" x14ac:dyDescent="0.3">
      <c r="A228" s="6" t="s">
        <v>182</v>
      </c>
      <c r="B228" s="5" t="s">
        <v>183</v>
      </c>
      <c r="C228" s="5" t="s">
        <v>192</v>
      </c>
      <c r="D228" s="6" t="s">
        <v>193</v>
      </c>
      <c r="E228" s="5">
        <v>7</v>
      </c>
      <c r="F228" s="5">
        <v>0.2</v>
      </c>
      <c r="G228" s="5">
        <v>2</v>
      </c>
      <c r="H228" s="5">
        <v>0.63600000000000001</v>
      </c>
    </row>
    <row r="229" spans="1:8" ht="15.75" customHeight="1" x14ac:dyDescent="0.3">
      <c r="A229" s="8" t="s">
        <v>182</v>
      </c>
      <c r="B229" s="9" t="s">
        <v>183</v>
      </c>
      <c r="C229" s="9" t="s">
        <v>396</v>
      </c>
      <c r="D229" s="8" t="s">
        <v>397</v>
      </c>
      <c r="E229" s="9">
        <v>5</v>
      </c>
      <c r="F229" s="9">
        <v>0.25</v>
      </c>
      <c r="G229" s="9">
        <v>4</v>
      </c>
      <c r="H229" s="9">
        <v>0.35699999999999998</v>
      </c>
    </row>
    <row r="230" spans="1:8" ht="15.75" customHeight="1" x14ac:dyDescent="0.3">
      <c r="A230" s="6" t="s">
        <v>182</v>
      </c>
      <c r="B230" s="5" t="s">
        <v>183</v>
      </c>
      <c r="C230" s="5" t="s">
        <v>212</v>
      </c>
      <c r="D230" s="6" t="s">
        <v>213</v>
      </c>
      <c r="E230" s="5">
        <v>4</v>
      </c>
      <c r="F230" s="5">
        <v>0.16700000000000001</v>
      </c>
      <c r="G230" s="5">
        <v>5</v>
      </c>
      <c r="H230" s="5">
        <v>0.19</v>
      </c>
    </row>
    <row r="231" spans="1:8" ht="15.75" customHeight="1" x14ac:dyDescent="0.3">
      <c r="A231" s="8" t="s">
        <v>182</v>
      </c>
      <c r="B231" s="9" t="s">
        <v>183</v>
      </c>
      <c r="C231" s="9" t="s">
        <v>398</v>
      </c>
      <c r="D231" s="8" t="s">
        <v>399</v>
      </c>
      <c r="E231" s="9">
        <v>3</v>
      </c>
      <c r="F231" s="9">
        <v>0.33300000000000002</v>
      </c>
      <c r="G231" s="9">
        <v>6</v>
      </c>
      <c r="H231" s="9">
        <v>0.375</v>
      </c>
    </row>
    <row r="232" spans="1:8" ht="15.75" customHeight="1" x14ac:dyDescent="0.3">
      <c r="A232" s="6" t="s">
        <v>182</v>
      </c>
      <c r="B232" s="5" t="s">
        <v>183</v>
      </c>
      <c r="C232" s="5" t="s">
        <v>400</v>
      </c>
      <c r="D232" s="6" t="s">
        <v>401</v>
      </c>
      <c r="E232" s="5">
        <v>4</v>
      </c>
      <c r="F232" s="5">
        <v>0.25</v>
      </c>
      <c r="G232" s="5">
        <v>6</v>
      </c>
      <c r="H232" s="5">
        <v>0.5</v>
      </c>
    </row>
    <row r="233" spans="1:8" ht="15.75" customHeight="1" x14ac:dyDescent="0.3">
      <c r="A233" s="8" t="s">
        <v>182</v>
      </c>
      <c r="B233" s="9" t="s">
        <v>183</v>
      </c>
      <c r="C233" s="9" t="s">
        <v>52</v>
      </c>
      <c r="D233" s="8" t="s">
        <v>53</v>
      </c>
      <c r="E233" s="9">
        <v>4</v>
      </c>
      <c r="F233" s="9">
        <v>8.3000000000000004E-2</v>
      </c>
      <c r="G233" s="9">
        <v>6</v>
      </c>
      <c r="H233" s="9">
        <v>6.7000000000000004E-2</v>
      </c>
    </row>
    <row r="234" spans="1:8" ht="15.75" customHeight="1" x14ac:dyDescent="0.3">
      <c r="A234" s="6" t="s">
        <v>182</v>
      </c>
      <c r="B234" s="5" t="s">
        <v>183</v>
      </c>
      <c r="C234" s="5" t="s">
        <v>250</v>
      </c>
      <c r="D234" s="6" t="s">
        <v>251</v>
      </c>
      <c r="E234" s="5">
        <v>3</v>
      </c>
      <c r="F234" s="5">
        <v>0.25</v>
      </c>
      <c r="G234" s="5">
        <v>6</v>
      </c>
      <c r="H234" s="5">
        <v>0.17599999999999999</v>
      </c>
    </row>
    <row r="235" spans="1:8" ht="15.75" customHeight="1" x14ac:dyDescent="0.3">
      <c r="A235" s="8" t="s">
        <v>182</v>
      </c>
      <c r="B235" s="9" t="s">
        <v>183</v>
      </c>
      <c r="C235" s="9" t="s">
        <v>402</v>
      </c>
      <c r="D235" s="8" t="s">
        <v>403</v>
      </c>
      <c r="E235" s="9">
        <v>2</v>
      </c>
      <c r="F235" s="9">
        <v>0.2</v>
      </c>
      <c r="G235" s="9">
        <v>7</v>
      </c>
      <c r="H235" s="9">
        <v>0.2</v>
      </c>
    </row>
    <row r="236" spans="1:8" ht="15.75" customHeight="1" x14ac:dyDescent="0.3">
      <c r="A236" s="6" t="s">
        <v>182</v>
      </c>
      <c r="B236" s="5" t="s">
        <v>183</v>
      </c>
      <c r="C236" s="5" t="s">
        <v>265</v>
      </c>
      <c r="D236" s="6" t="s">
        <v>266</v>
      </c>
      <c r="E236" s="5">
        <v>2</v>
      </c>
      <c r="F236" s="5">
        <v>0.25</v>
      </c>
      <c r="G236" s="5">
        <v>7</v>
      </c>
      <c r="H236" s="5">
        <v>0.14299999999999999</v>
      </c>
    </row>
    <row r="237" spans="1:8" ht="15.75" customHeight="1" x14ac:dyDescent="0.3">
      <c r="A237" s="8" t="s">
        <v>182</v>
      </c>
      <c r="B237" s="9" t="s">
        <v>183</v>
      </c>
      <c r="C237" s="9" t="s">
        <v>372</v>
      </c>
      <c r="D237" s="8" t="s">
        <v>373</v>
      </c>
      <c r="E237" s="9">
        <v>2</v>
      </c>
      <c r="F237" s="9">
        <v>0.33300000000000002</v>
      </c>
      <c r="G237" s="9">
        <v>7</v>
      </c>
      <c r="H237" s="9">
        <v>0.4</v>
      </c>
    </row>
    <row r="238" spans="1:8" ht="15.75" customHeight="1" x14ac:dyDescent="0.3">
      <c r="A238" s="6" t="s">
        <v>182</v>
      </c>
      <c r="B238" s="5" t="s">
        <v>183</v>
      </c>
      <c r="C238" s="5" t="s">
        <v>404</v>
      </c>
      <c r="D238" s="6" t="s">
        <v>405</v>
      </c>
      <c r="E238" s="5">
        <v>2</v>
      </c>
      <c r="F238" s="5">
        <v>0.25</v>
      </c>
      <c r="G238" s="5">
        <v>7</v>
      </c>
      <c r="H238" s="5">
        <v>0.2</v>
      </c>
    </row>
    <row r="239" spans="1:8" ht="15.75" customHeight="1" x14ac:dyDescent="0.3">
      <c r="A239" s="8" t="s">
        <v>182</v>
      </c>
      <c r="B239" s="9" t="s">
        <v>183</v>
      </c>
      <c r="C239" s="9" t="s">
        <v>252</v>
      </c>
      <c r="D239" s="8" t="s">
        <v>253</v>
      </c>
      <c r="E239" s="9">
        <v>2</v>
      </c>
      <c r="F239" s="9">
        <v>0.25</v>
      </c>
      <c r="G239" s="9">
        <v>7</v>
      </c>
      <c r="H239" s="9">
        <v>0.33300000000000002</v>
      </c>
    </row>
    <row r="240" spans="1:8" ht="15.75" customHeight="1" x14ac:dyDescent="0.3">
      <c r="A240" s="6" t="s">
        <v>182</v>
      </c>
      <c r="B240" s="5" t="s">
        <v>183</v>
      </c>
      <c r="C240" s="5" t="s">
        <v>262</v>
      </c>
      <c r="D240" s="6" t="s">
        <v>263</v>
      </c>
      <c r="E240" s="5">
        <v>3</v>
      </c>
      <c r="F240" s="5">
        <v>0.2</v>
      </c>
      <c r="G240" s="5">
        <v>7</v>
      </c>
      <c r="H240" s="5">
        <v>5.8999999999999997E-2</v>
      </c>
    </row>
    <row r="241" spans="1:8" ht="15.75" customHeight="1" x14ac:dyDescent="0.3">
      <c r="A241" s="8" t="s">
        <v>182</v>
      </c>
      <c r="B241" s="9" t="s">
        <v>183</v>
      </c>
      <c r="C241" s="9" t="s">
        <v>194</v>
      </c>
      <c r="D241" s="8" t="s">
        <v>195</v>
      </c>
      <c r="E241" s="9">
        <v>2</v>
      </c>
      <c r="F241" s="9">
        <v>0.33300000000000002</v>
      </c>
      <c r="G241" s="9">
        <v>7</v>
      </c>
      <c r="H241" s="9">
        <v>0.5</v>
      </c>
    </row>
    <row r="242" spans="1:8" ht="15.75" customHeight="1" x14ac:dyDescent="0.3">
      <c r="A242" s="6" t="s">
        <v>182</v>
      </c>
      <c r="B242" s="5" t="s">
        <v>183</v>
      </c>
      <c r="C242" s="5" t="s">
        <v>222</v>
      </c>
      <c r="D242" s="6" t="s">
        <v>223</v>
      </c>
      <c r="E242" s="5">
        <v>1</v>
      </c>
      <c r="F242" s="5">
        <v>0.16700000000000001</v>
      </c>
      <c r="G242" s="5">
        <v>8</v>
      </c>
      <c r="H242" s="5">
        <v>0.125</v>
      </c>
    </row>
    <row r="243" spans="1:8" ht="15.75" customHeight="1" x14ac:dyDescent="0.3">
      <c r="A243" s="8" t="s">
        <v>182</v>
      </c>
      <c r="B243" s="9" t="s">
        <v>183</v>
      </c>
      <c r="C243" s="9" t="s">
        <v>18</v>
      </c>
      <c r="D243" s="8" t="s">
        <v>19</v>
      </c>
      <c r="E243" s="9">
        <v>1</v>
      </c>
      <c r="F243" s="9">
        <v>0.111</v>
      </c>
      <c r="G243" s="9">
        <v>8</v>
      </c>
      <c r="H243" s="9">
        <v>5.8999999999999997E-2</v>
      </c>
    </row>
    <row r="244" spans="1:8" ht="15.75" customHeight="1" x14ac:dyDescent="0.3">
      <c r="A244" s="6" t="s">
        <v>182</v>
      </c>
      <c r="B244" s="5" t="s">
        <v>183</v>
      </c>
      <c r="C244" s="5" t="s">
        <v>126</v>
      </c>
      <c r="D244" s="6" t="s">
        <v>127</v>
      </c>
      <c r="E244" s="5">
        <v>1</v>
      </c>
      <c r="F244" s="5">
        <v>0.111</v>
      </c>
      <c r="G244" s="5">
        <v>8</v>
      </c>
      <c r="H244" s="5">
        <v>5.6000000000000001E-2</v>
      </c>
    </row>
    <row r="245" spans="1:8" ht="15.75" customHeight="1" x14ac:dyDescent="0.3">
      <c r="A245" s="8" t="s">
        <v>182</v>
      </c>
      <c r="B245" s="9" t="s">
        <v>183</v>
      </c>
      <c r="C245" s="9" t="s">
        <v>58</v>
      </c>
      <c r="D245" s="8" t="s">
        <v>59</v>
      </c>
      <c r="E245" s="9">
        <v>1</v>
      </c>
      <c r="F245" s="9">
        <v>0.25</v>
      </c>
      <c r="G245" s="9">
        <v>8</v>
      </c>
      <c r="H245" s="9">
        <v>0.111</v>
      </c>
    </row>
    <row r="246" spans="1:8" ht="15.75" customHeight="1" x14ac:dyDescent="0.3">
      <c r="A246" s="6" t="s">
        <v>182</v>
      </c>
      <c r="B246" s="5" t="s">
        <v>183</v>
      </c>
      <c r="C246" s="5" t="s">
        <v>56</v>
      </c>
      <c r="D246" s="6" t="s">
        <v>57</v>
      </c>
      <c r="E246" s="5">
        <v>1</v>
      </c>
      <c r="F246" s="5">
        <v>0.2</v>
      </c>
      <c r="G246" s="5">
        <v>8</v>
      </c>
      <c r="H246" s="5">
        <v>4.2999999999999997E-2</v>
      </c>
    </row>
    <row r="247" spans="1:8" ht="15.75" customHeight="1" x14ac:dyDescent="0.3">
      <c r="A247" s="8" t="s">
        <v>182</v>
      </c>
      <c r="B247" s="9" t="s">
        <v>183</v>
      </c>
      <c r="C247" s="9" t="s">
        <v>406</v>
      </c>
      <c r="D247" s="8" t="s">
        <v>407</v>
      </c>
      <c r="E247" s="9">
        <v>1</v>
      </c>
      <c r="F247" s="9">
        <v>0.25</v>
      </c>
      <c r="G247" s="9">
        <v>8</v>
      </c>
      <c r="H247" s="9">
        <v>7.6999999999999999E-2</v>
      </c>
    </row>
    <row r="248" spans="1:8" ht="15.75" customHeight="1" x14ac:dyDescent="0.3">
      <c r="A248" s="6" t="s">
        <v>182</v>
      </c>
      <c r="B248" s="5" t="s">
        <v>183</v>
      </c>
      <c r="C248" s="5" t="s">
        <v>248</v>
      </c>
      <c r="D248" s="6" t="s">
        <v>249</v>
      </c>
      <c r="E248" s="5">
        <v>1</v>
      </c>
      <c r="F248" s="5">
        <v>0.33300000000000002</v>
      </c>
      <c r="G248" s="5">
        <v>8</v>
      </c>
      <c r="H248" s="5">
        <v>7.0999999999999994E-2</v>
      </c>
    </row>
    <row r="249" spans="1:8" ht="15.75" customHeight="1" x14ac:dyDescent="0.3">
      <c r="A249" s="8" t="s">
        <v>182</v>
      </c>
      <c r="B249" s="9" t="s">
        <v>183</v>
      </c>
      <c r="C249" s="9" t="s">
        <v>122</v>
      </c>
      <c r="D249" s="8" t="s">
        <v>123</v>
      </c>
      <c r="E249" s="9">
        <v>1</v>
      </c>
      <c r="F249" s="9">
        <v>0.33300000000000002</v>
      </c>
      <c r="G249" s="9">
        <v>8</v>
      </c>
      <c r="H249" s="9">
        <v>7.6999999999999999E-2</v>
      </c>
    </row>
    <row r="250" spans="1:8" ht="15.75" customHeight="1" x14ac:dyDescent="0.3">
      <c r="A250" s="6" t="s">
        <v>182</v>
      </c>
      <c r="B250" s="5" t="s">
        <v>183</v>
      </c>
      <c r="C250" s="5" t="s">
        <v>293</v>
      </c>
      <c r="D250" s="6" t="s">
        <v>294</v>
      </c>
      <c r="E250" s="5">
        <v>1</v>
      </c>
      <c r="F250" s="5">
        <v>0.33300000000000002</v>
      </c>
      <c r="G250" s="5">
        <v>8</v>
      </c>
      <c r="H250" s="5">
        <v>0.111</v>
      </c>
    </row>
    <row r="251" spans="1:8" ht="15.75" customHeight="1" x14ac:dyDescent="0.3">
      <c r="A251" s="8" t="s">
        <v>182</v>
      </c>
      <c r="B251" s="9" t="s">
        <v>183</v>
      </c>
      <c r="C251" s="9" t="s">
        <v>180</v>
      </c>
      <c r="D251" s="8" t="s">
        <v>181</v>
      </c>
      <c r="E251" s="9">
        <v>1</v>
      </c>
      <c r="F251" s="9">
        <v>0.16700000000000001</v>
      </c>
      <c r="G251" s="9">
        <v>8</v>
      </c>
      <c r="H251" s="9">
        <v>7.6999999999999999E-2</v>
      </c>
    </row>
    <row r="252" spans="1:8" ht="15.75" customHeight="1" x14ac:dyDescent="0.3">
      <c r="A252" s="6" t="s">
        <v>182</v>
      </c>
      <c r="B252" s="5" t="s">
        <v>183</v>
      </c>
      <c r="C252" s="5" t="s">
        <v>309</v>
      </c>
      <c r="D252" s="6" t="s">
        <v>310</v>
      </c>
      <c r="E252" s="5">
        <v>1</v>
      </c>
      <c r="F252" s="5">
        <v>0.33300000000000002</v>
      </c>
      <c r="G252" s="5">
        <v>8</v>
      </c>
      <c r="H252" s="5">
        <v>0.1</v>
      </c>
    </row>
    <row r="253" spans="1:8" ht="15.75" customHeight="1" x14ac:dyDescent="0.3">
      <c r="A253" s="8" t="s">
        <v>182</v>
      </c>
      <c r="B253" s="9" t="s">
        <v>183</v>
      </c>
      <c r="C253" s="9" t="s">
        <v>295</v>
      </c>
      <c r="D253" s="8" t="s">
        <v>296</v>
      </c>
      <c r="E253" s="9">
        <v>1</v>
      </c>
      <c r="F253" s="9">
        <v>0.33300000000000002</v>
      </c>
      <c r="G253" s="9">
        <v>8</v>
      </c>
      <c r="H253" s="9">
        <v>0.25</v>
      </c>
    </row>
    <row r="254" spans="1:8" ht="15.75" customHeight="1" x14ac:dyDescent="0.3">
      <c r="A254" s="6" t="s">
        <v>182</v>
      </c>
      <c r="B254" s="5" t="s">
        <v>183</v>
      </c>
      <c r="C254" s="5" t="s">
        <v>176</v>
      </c>
      <c r="D254" s="6" t="s">
        <v>177</v>
      </c>
      <c r="E254" s="5">
        <v>1</v>
      </c>
      <c r="F254" s="5">
        <v>0.25</v>
      </c>
      <c r="G254" s="5">
        <v>8</v>
      </c>
      <c r="H254" s="5">
        <v>7.0999999999999994E-2</v>
      </c>
    </row>
    <row r="255" spans="1:8" ht="15.75" customHeight="1" x14ac:dyDescent="0.3">
      <c r="A255" s="8" t="s">
        <v>182</v>
      </c>
      <c r="B255" s="9" t="s">
        <v>183</v>
      </c>
      <c r="C255" s="9" t="s">
        <v>230</v>
      </c>
      <c r="D255" s="8" t="s">
        <v>231</v>
      </c>
      <c r="E255" s="9">
        <v>1</v>
      </c>
      <c r="F255" s="9">
        <v>0.33300000000000002</v>
      </c>
      <c r="G255" s="9">
        <v>8</v>
      </c>
      <c r="H255" s="9">
        <v>0.125</v>
      </c>
    </row>
    <row r="256" spans="1:8" ht="15.75" customHeight="1" x14ac:dyDescent="0.3">
      <c r="A256" s="6" t="s">
        <v>196</v>
      </c>
      <c r="B256" s="5" t="s">
        <v>197</v>
      </c>
      <c r="C256" s="5" t="s">
        <v>70</v>
      </c>
      <c r="D256" s="6" t="s">
        <v>71</v>
      </c>
      <c r="E256" s="5">
        <v>13</v>
      </c>
      <c r="F256" s="5">
        <v>0.2</v>
      </c>
      <c r="G256" s="5">
        <v>4</v>
      </c>
      <c r="H256" s="5">
        <v>0.25700000000000001</v>
      </c>
    </row>
    <row r="257" spans="1:8" ht="15.75" customHeight="1" x14ac:dyDescent="0.3">
      <c r="A257" s="8" t="s">
        <v>196</v>
      </c>
      <c r="B257" s="9" t="s">
        <v>197</v>
      </c>
      <c r="C257" s="9" t="s">
        <v>76</v>
      </c>
      <c r="D257" s="8" t="s">
        <v>77</v>
      </c>
      <c r="E257" s="9">
        <v>5</v>
      </c>
      <c r="F257" s="9">
        <v>0.25</v>
      </c>
      <c r="G257" s="9">
        <v>5</v>
      </c>
      <c r="H257" s="9">
        <v>0.45500000000000002</v>
      </c>
    </row>
    <row r="258" spans="1:8" ht="15.75" customHeight="1" x14ac:dyDescent="0.3">
      <c r="A258" s="6" t="s">
        <v>196</v>
      </c>
      <c r="B258" s="5" t="s">
        <v>197</v>
      </c>
      <c r="C258" s="5" t="s">
        <v>72</v>
      </c>
      <c r="D258" s="6" t="s">
        <v>73</v>
      </c>
      <c r="E258" s="5">
        <v>4</v>
      </c>
      <c r="F258" s="5">
        <v>0.33300000000000002</v>
      </c>
      <c r="G258" s="5">
        <v>6</v>
      </c>
      <c r="H258" s="5">
        <v>0.25</v>
      </c>
    </row>
    <row r="259" spans="1:8" ht="15.75" customHeight="1" x14ac:dyDescent="0.3">
      <c r="A259" s="8" t="s">
        <v>196</v>
      </c>
      <c r="B259" s="9" t="s">
        <v>197</v>
      </c>
      <c r="C259" s="9" t="s">
        <v>68</v>
      </c>
      <c r="D259" s="8" t="s">
        <v>69</v>
      </c>
      <c r="E259" s="9">
        <v>3</v>
      </c>
      <c r="F259" s="9">
        <v>0.14299999999999999</v>
      </c>
      <c r="G259" s="9">
        <v>7</v>
      </c>
      <c r="H259" s="9">
        <v>0.16700000000000001</v>
      </c>
    </row>
    <row r="260" spans="1:8" ht="15.75" customHeight="1" x14ac:dyDescent="0.3">
      <c r="A260" s="6" t="s">
        <v>196</v>
      </c>
      <c r="B260" s="5" t="s">
        <v>197</v>
      </c>
      <c r="C260" s="5" t="s">
        <v>78</v>
      </c>
      <c r="D260" s="6" t="s">
        <v>79</v>
      </c>
      <c r="E260" s="5">
        <v>3</v>
      </c>
      <c r="F260" s="5">
        <v>0.05</v>
      </c>
      <c r="G260" s="5">
        <v>7</v>
      </c>
      <c r="H260" s="5">
        <v>5.3999999999999999E-2</v>
      </c>
    </row>
    <row r="261" spans="1:8" ht="15.75" customHeight="1" x14ac:dyDescent="0.3">
      <c r="A261" s="8" t="s">
        <v>196</v>
      </c>
      <c r="B261" s="9" t="s">
        <v>197</v>
      </c>
      <c r="C261" s="9" t="s">
        <v>82</v>
      </c>
      <c r="D261" s="8" t="s">
        <v>83</v>
      </c>
      <c r="E261" s="9">
        <v>3</v>
      </c>
      <c r="F261" s="9">
        <v>0.2</v>
      </c>
      <c r="G261" s="9">
        <v>7</v>
      </c>
      <c r="H261" s="9">
        <v>0.27300000000000002</v>
      </c>
    </row>
    <row r="262" spans="1:8" ht="15.75" customHeight="1" x14ac:dyDescent="0.3">
      <c r="A262" s="6" t="s">
        <v>196</v>
      </c>
      <c r="B262" s="5" t="s">
        <v>197</v>
      </c>
      <c r="C262" s="5" t="s">
        <v>332</v>
      </c>
      <c r="D262" s="6" t="s">
        <v>333</v>
      </c>
      <c r="E262" s="5">
        <v>3</v>
      </c>
      <c r="F262" s="5">
        <v>0.125</v>
      </c>
      <c r="G262" s="5">
        <v>7</v>
      </c>
      <c r="H262" s="5">
        <v>0.23100000000000001</v>
      </c>
    </row>
    <row r="263" spans="1:8" ht="15.75" customHeight="1" x14ac:dyDescent="0.3">
      <c r="A263" s="8" t="s">
        <v>196</v>
      </c>
      <c r="B263" s="9" t="s">
        <v>197</v>
      </c>
      <c r="C263" s="9" t="s">
        <v>336</v>
      </c>
      <c r="D263" s="8" t="s">
        <v>337</v>
      </c>
      <c r="E263" s="9">
        <v>2</v>
      </c>
      <c r="F263" s="9">
        <v>0.111</v>
      </c>
      <c r="G263" s="9">
        <v>8</v>
      </c>
      <c r="H263" s="9">
        <v>0.11799999999999999</v>
      </c>
    </row>
    <row r="264" spans="1:8" ht="15.75" customHeight="1" x14ac:dyDescent="0.3">
      <c r="A264" s="6" t="s">
        <v>196</v>
      </c>
      <c r="B264" s="5" t="s">
        <v>197</v>
      </c>
      <c r="C264" s="5" t="s">
        <v>200</v>
      </c>
      <c r="D264" s="6" t="s">
        <v>201</v>
      </c>
      <c r="E264" s="5">
        <v>2</v>
      </c>
      <c r="F264" s="5">
        <v>0.33300000000000002</v>
      </c>
      <c r="G264" s="5">
        <v>8</v>
      </c>
      <c r="H264" s="5">
        <v>0.14299999999999999</v>
      </c>
    </row>
    <row r="265" spans="1:8" ht="15.75" customHeight="1" x14ac:dyDescent="0.3">
      <c r="A265" s="8" t="s">
        <v>196</v>
      </c>
      <c r="B265" s="9" t="s">
        <v>197</v>
      </c>
      <c r="C265" s="9" t="s">
        <v>174</v>
      </c>
      <c r="D265" s="8" t="s">
        <v>175</v>
      </c>
      <c r="E265" s="9">
        <v>2</v>
      </c>
      <c r="F265" s="9">
        <v>0.25</v>
      </c>
      <c r="G265" s="9">
        <v>8</v>
      </c>
      <c r="H265" s="9">
        <v>0.105</v>
      </c>
    </row>
    <row r="266" spans="1:8" ht="15.75" customHeight="1" x14ac:dyDescent="0.3">
      <c r="A266" s="6" t="s">
        <v>196</v>
      </c>
      <c r="B266" s="5" t="s">
        <v>197</v>
      </c>
      <c r="C266" s="5" t="s">
        <v>126</v>
      </c>
      <c r="D266" s="6" t="s">
        <v>127</v>
      </c>
      <c r="E266" s="5">
        <v>1</v>
      </c>
      <c r="F266" s="5">
        <v>0.111</v>
      </c>
      <c r="G266" s="5">
        <v>9</v>
      </c>
      <c r="H266" s="5">
        <v>5.6000000000000001E-2</v>
      </c>
    </row>
    <row r="267" spans="1:8" ht="15.75" customHeight="1" x14ac:dyDescent="0.3">
      <c r="A267" s="8" t="s">
        <v>196</v>
      </c>
      <c r="B267" s="9" t="s">
        <v>197</v>
      </c>
      <c r="C267" s="9" t="s">
        <v>50</v>
      </c>
      <c r="D267" s="8" t="s">
        <v>51</v>
      </c>
      <c r="E267" s="9">
        <v>1</v>
      </c>
      <c r="F267" s="9">
        <v>0.125</v>
      </c>
      <c r="G267" s="9">
        <v>9</v>
      </c>
      <c r="H267" s="9">
        <v>6.2E-2</v>
      </c>
    </row>
    <row r="268" spans="1:8" ht="15.75" customHeight="1" x14ac:dyDescent="0.3">
      <c r="A268" s="6" t="s">
        <v>196</v>
      </c>
      <c r="B268" s="5" t="s">
        <v>197</v>
      </c>
      <c r="C268" s="5" t="s">
        <v>202</v>
      </c>
      <c r="D268" s="6" t="s">
        <v>203</v>
      </c>
      <c r="E268" s="5">
        <v>1</v>
      </c>
      <c r="F268" s="5">
        <v>0.25</v>
      </c>
      <c r="G268" s="5">
        <v>9</v>
      </c>
      <c r="H268" s="5">
        <v>0.2</v>
      </c>
    </row>
    <row r="269" spans="1:8" ht="15.75" customHeight="1" x14ac:dyDescent="0.3">
      <c r="A269" s="8" t="s">
        <v>196</v>
      </c>
      <c r="B269" s="9" t="s">
        <v>197</v>
      </c>
      <c r="C269" s="9" t="s">
        <v>74</v>
      </c>
      <c r="D269" s="8" t="s">
        <v>75</v>
      </c>
      <c r="E269" s="9">
        <v>1</v>
      </c>
      <c r="F269" s="9">
        <v>0.2</v>
      </c>
      <c r="G269" s="9">
        <v>9</v>
      </c>
      <c r="H269" s="9">
        <v>6.7000000000000004E-2</v>
      </c>
    </row>
    <row r="270" spans="1:8" ht="15.75" customHeight="1" x14ac:dyDescent="0.3">
      <c r="A270" s="6" t="s">
        <v>196</v>
      </c>
      <c r="B270" s="5" t="s">
        <v>197</v>
      </c>
      <c r="C270" s="5" t="s">
        <v>390</v>
      </c>
      <c r="D270" s="6" t="s">
        <v>391</v>
      </c>
      <c r="E270" s="5">
        <v>1</v>
      </c>
      <c r="F270" s="5">
        <v>0.16700000000000001</v>
      </c>
      <c r="G270" s="5">
        <v>9</v>
      </c>
      <c r="H270" s="5">
        <v>0.14299999999999999</v>
      </c>
    </row>
    <row r="271" spans="1:8" ht="15.75" customHeight="1" x14ac:dyDescent="0.3">
      <c r="A271" s="8" t="s">
        <v>196</v>
      </c>
      <c r="B271" s="9" t="s">
        <v>197</v>
      </c>
      <c r="C271" s="9" t="s">
        <v>198</v>
      </c>
      <c r="D271" s="8" t="s">
        <v>199</v>
      </c>
      <c r="E271" s="9">
        <v>1</v>
      </c>
      <c r="F271" s="9">
        <v>0.33300000000000002</v>
      </c>
      <c r="G271" s="9">
        <v>9</v>
      </c>
      <c r="H271" s="9">
        <v>0.25</v>
      </c>
    </row>
    <row r="272" spans="1:8" ht="15.75" customHeight="1" x14ac:dyDescent="0.3">
      <c r="A272" s="6" t="s">
        <v>204</v>
      </c>
      <c r="B272" s="5" t="s">
        <v>205</v>
      </c>
      <c r="C272" s="5" t="s">
        <v>208</v>
      </c>
      <c r="D272" s="6" t="s">
        <v>209</v>
      </c>
      <c r="E272" s="5">
        <v>9</v>
      </c>
      <c r="F272" s="5">
        <v>0.33300000000000002</v>
      </c>
      <c r="G272" s="5">
        <v>3</v>
      </c>
      <c r="H272" s="5">
        <v>0.42899999999999999</v>
      </c>
    </row>
    <row r="273" spans="1:8" ht="15.75" customHeight="1" x14ac:dyDescent="0.3">
      <c r="A273" s="8" t="s">
        <v>204</v>
      </c>
      <c r="B273" s="9" t="s">
        <v>205</v>
      </c>
      <c r="C273" s="9" t="s">
        <v>184</v>
      </c>
      <c r="D273" s="8" t="s">
        <v>185</v>
      </c>
      <c r="E273" s="9">
        <v>3</v>
      </c>
      <c r="F273" s="9">
        <v>0.33300000000000002</v>
      </c>
      <c r="G273" s="9">
        <v>6</v>
      </c>
      <c r="H273" s="9">
        <v>0.23100000000000001</v>
      </c>
    </row>
    <row r="274" spans="1:8" ht="15.75" customHeight="1" x14ac:dyDescent="0.3">
      <c r="A274" s="6" t="s">
        <v>204</v>
      </c>
      <c r="B274" s="5" t="s">
        <v>205</v>
      </c>
      <c r="C274" s="5" t="s">
        <v>166</v>
      </c>
      <c r="D274" s="6" t="s">
        <v>167</v>
      </c>
      <c r="E274" s="5">
        <v>3</v>
      </c>
      <c r="F274" s="5">
        <v>0.33300000000000002</v>
      </c>
      <c r="G274" s="5">
        <v>6</v>
      </c>
      <c r="H274" s="5">
        <v>0.6</v>
      </c>
    </row>
    <row r="275" spans="1:8" ht="15.75" customHeight="1" x14ac:dyDescent="0.3">
      <c r="A275" s="8" t="s">
        <v>204</v>
      </c>
      <c r="B275" s="9" t="s">
        <v>205</v>
      </c>
      <c r="C275" s="9" t="s">
        <v>206</v>
      </c>
      <c r="D275" s="8" t="s">
        <v>207</v>
      </c>
      <c r="E275" s="9">
        <v>3</v>
      </c>
      <c r="F275" s="9">
        <v>0.2</v>
      </c>
      <c r="G275" s="9">
        <v>6</v>
      </c>
      <c r="H275" s="9">
        <v>0.42899999999999999</v>
      </c>
    </row>
    <row r="276" spans="1:8" ht="15.75" customHeight="1" x14ac:dyDescent="0.3">
      <c r="A276" s="6" t="s">
        <v>204</v>
      </c>
      <c r="B276" s="5" t="s">
        <v>205</v>
      </c>
      <c r="C276" s="5" t="s">
        <v>408</v>
      </c>
      <c r="D276" s="6" t="s">
        <v>409</v>
      </c>
      <c r="E276" s="5">
        <v>2</v>
      </c>
      <c r="F276" s="5">
        <v>0.25</v>
      </c>
      <c r="G276" s="5">
        <v>7</v>
      </c>
      <c r="H276" s="5">
        <v>0.4</v>
      </c>
    </row>
    <row r="277" spans="1:8" ht="15.75" customHeight="1" x14ac:dyDescent="0.3">
      <c r="A277" s="8" t="s">
        <v>204</v>
      </c>
      <c r="B277" s="9" t="s">
        <v>205</v>
      </c>
      <c r="C277" s="9" t="s">
        <v>186</v>
      </c>
      <c r="D277" s="8" t="s">
        <v>187</v>
      </c>
      <c r="E277" s="9">
        <v>1</v>
      </c>
      <c r="F277" s="9">
        <v>0.25</v>
      </c>
      <c r="G277" s="9">
        <v>8</v>
      </c>
      <c r="H277" s="9">
        <v>8.3000000000000004E-2</v>
      </c>
    </row>
    <row r="278" spans="1:8" ht="15.75" customHeight="1" x14ac:dyDescent="0.3">
      <c r="A278" s="6" t="s">
        <v>204</v>
      </c>
      <c r="B278" s="5" t="s">
        <v>205</v>
      </c>
      <c r="C278" s="5" t="s">
        <v>188</v>
      </c>
      <c r="D278" s="6" t="s">
        <v>189</v>
      </c>
      <c r="E278" s="5">
        <v>1</v>
      </c>
      <c r="F278" s="5">
        <v>0.14299999999999999</v>
      </c>
      <c r="G278" s="5">
        <v>8</v>
      </c>
      <c r="H278" s="5">
        <v>1.7000000000000001E-2</v>
      </c>
    </row>
    <row r="279" spans="1:8" ht="15.75" customHeight="1" x14ac:dyDescent="0.3">
      <c r="A279" s="8" t="s">
        <v>204</v>
      </c>
      <c r="B279" s="9" t="s">
        <v>205</v>
      </c>
      <c r="C279" s="9" t="s">
        <v>102</v>
      </c>
      <c r="D279" s="8" t="s">
        <v>103</v>
      </c>
      <c r="E279" s="9">
        <v>1</v>
      </c>
      <c r="F279" s="9">
        <v>0.33300000000000002</v>
      </c>
      <c r="G279" s="9">
        <v>8</v>
      </c>
      <c r="H279" s="9">
        <v>0.125</v>
      </c>
    </row>
    <row r="280" spans="1:8" ht="15.75" customHeight="1" x14ac:dyDescent="0.3">
      <c r="A280" s="6" t="s">
        <v>204</v>
      </c>
      <c r="B280" s="5" t="s">
        <v>205</v>
      </c>
      <c r="C280" s="5" t="s">
        <v>410</v>
      </c>
      <c r="D280" s="6" t="s">
        <v>411</v>
      </c>
      <c r="E280" s="5">
        <v>1</v>
      </c>
      <c r="F280" s="5">
        <v>0.25</v>
      </c>
      <c r="G280" s="5">
        <v>8</v>
      </c>
      <c r="H280" s="5">
        <v>0.2</v>
      </c>
    </row>
    <row r="281" spans="1:8" ht="15.75" customHeight="1" x14ac:dyDescent="0.3">
      <c r="A281" s="8" t="s">
        <v>204</v>
      </c>
      <c r="B281" s="9" t="s">
        <v>205</v>
      </c>
      <c r="C281" s="9" t="s">
        <v>210</v>
      </c>
      <c r="D281" s="8" t="s">
        <v>211</v>
      </c>
      <c r="E281" s="9">
        <v>1</v>
      </c>
      <c r="F281" s="9">
        <v>0.25</v>
      </c>
      <c r="G281" s="9">
        <v>8</v>
      </c>
      <c r="H281" s="9">
        <v>0.16700000000000001</v>
      </c>
    </row>
    <row r="282" spans="1:8" ht="15.75" customHeight="1" x14ac:dyDescent="0.3">
      <c r="A282" s="6" t="s">
        <v>204</v>
      </c>
      <c r="B282" s="5" t="s">
        <v>205</v>
      </c>
      <c r="C282" s="5" t="s">
        <v>190</v>
      </c>
      <c r="D282" s="6" t="s">
        <v>191</v>
      </c>
      <c r="E282" s="5">
        <v>1</v>
      </c>
      <c r="F282" s="5">
        <v>0.33300000000000002</v>
      </c>
      <c r="G282" s="5">
        <v>8</v>
      </c>
      <c r="H282" s="5">
        <v>9.0999999999999998E-2</v>
      </c>
    </row>
    <row r="283" spans="1:8" ht="15.75" customHeight="1" x14ac:dyDescent="0.3">
      <c r="A283" s="8" t="s">
        <v>204</v>
      </c>
      <c r="B283" s="9" t="s">
        <v>205</v>
      </c>
      <c r="C283" s="9" t="s">
        <v>180</v>
      </c>
      <c r="D283" s="8" t="s">
        <v>181</v>
      </c>
      <c r="E283" s="9">
        <v>1</v>
      </c>
      <c r="F283" s="9">
        <v>0.16700000000000001</v>
      </c>
      <c r="G283" s="9">
        <v>8</v>
      </c>
      <c r="H283" s="9">
        <v>7.6999999999999999E-2</v>
      </c>
    </row>
    <row r="284" spans="1:8" ht="15.75" customHeight="1" x14ac:dyDescent="0.3">
      <c r="A284" s="6" t="s">
        <v>204</v>
      </c>
      <c r="B284" s="5" t="s">
        <v>205</v>
      </c>
      <c r="C284" s="5" t="s">
        <v>212</v>
      </c>
      <c r="D284" s="6" t="s">
        <v>213</v>
      </c>
      <c r="E284" s="5">
        <v>1</v>
      </c>
      <c r="F284" s="5">
        <v>0.16700000000000001</v>
      </c>
      <c r="G284" s="5">
        <v>8</v>
      </c>
      <c r="H284" s="5">
        <v>4.8000000000000001E-2</v>
      </c>
    </row>
    <row r="285" spans="1:8" ht="15.75" customHeight="1" x14ac:dyDescent="0.3">
      <c r="A285" s="6" t="s">
        <v>214</v>
      </c>
      <c r="B285" s="5" t="s">
        <v>215</v>
      </c>
      <c r="C285" s="5" t="s">
        <v>220</v>
      </c>
      <c r="D285" s="6" t="s">
        <v>221</v>
      </c>
      <c r="E285" s="5">
        <v>17</v>
      </c>
      <c r="F285" s="5">
        <v>0.33300000000000002</v>
      </c>
      <c r="G285" s="5">
        <v>1</v>
      </c>
      <c r="H285" s="5">
        <v>0.77800000000000002</v>
      </c>
    </row>
    <row r="286" spans="1:8" ht="15.75" customHeight="1" x14ac:dyDescent="0.3">
      <c r="A286" s="8" t="s">
        <v>214</v>
      </c>
      <c r="B286" s="9" t="s">
        <v>215</v>
      </c>
      <c r="C286" s="9" t="s">
        <v>226</v>
      </c>
      <c r="D286" s="8" t="s">
        <v>227</v>
      </c>
      <c r="E286" s="9">
        <v>9</v>
      </c>
      <c r="F286" s="9">
        <v>0.33300000000000002</v>
      </c>
      <c r="G286" s="9">
        <v>3</v>
      </c>
      <c r="H286" s="9">
        <v>0.81799999999999995</v>
      </c>
    </row>
    <row r="287" spans="1:8" ht="15.75" customHeight="1" x14ac:dyDescent="0.3">
      <c r="A287" s="6" t="s">
        <v>214</v>
      </c>
      <c r="B287" s="5" t="s">
        <v>215</v>
      </c>
      <c r="C287" s="5" t="s">
        <v>218</v>
      </c>
      <c r="D287" s="6" t="s">
        <v>219</v>
      </c>
      <c r="E287" s="5">
        <v>8</v>
      </c>
      <c r="F287" s="5">
        <v>0.33300000000000002</v>
      </c>
      <c r="G287" s="5">
        <v>4</v>
      </c>
      <c r="H287" s="5">
        <v>0.72699999999999998</v>
      </c>
    </row>
    <row r="288" spans="1:8" ht="15.75" customHeight="1" x14ac:dyDescent="0.3">
      <c r="A288" s="8" t="s">
        <v>214</v>
      </c>
      <c r="B288" s="9" t="s">
        <v>215</v>
      </c>
      <c r="C288" s="9" t="s">
        <v>156</v>
      </c>
      <c r="D288" s="8" t="s">
        <v>157</v>
      </c>
      <c r="E288" s="9">
        <v>3</v>
      </c>
      <c r="F288" s="9">
        <v>0.2</v>
      </c>
      <c r="G288" s="9">
        <v>7</v>
      </c>
      <c r="H288" s="9">
        <v>0.214</v>
      </c>
    </row>
    <row r="289" spans="1:8" ht="15.75" customHeight="1" x14ac:dyDescent="0.3">
      <c r="A289" s="6" t="s">
        <v>214</v>
      </c>
      <c r="B289" s="5" t="s">
        <v>215</v>
      </c>
      <c r="C289" s="5" t="s">
        <v>410</v>
      </c>
      <c r="D289" s="6" t="s">
        <v>411</v>
      </c>
      <c r="E289" s="5">
        <v>2</v>
      </c>
      <c r="F289" s="5">
        <v>0.25</v>
      </c>
      <c r="G289" s="5">
        <v>8</v>
      </c>
      <c r="H289" s="5">
        <v>0.4</v>
      </c>
    </row>
    <row r="290" spans="1:8" ht="15.75" customHeight="1" x14ac:dyDescent="0.3">
      <c r="A290" s="8" t="s">
        <v>214</v>
      </c>
      <c r="B290" s="9" t="s">
        <v>215</v>
      </c>
      <c r="C290" s="9" t="s">
        <v>222</v>
      </c>
      <c r="D290" s="8" t="s">
        <v>223</v>
      </c>
      <c r="E290" s="9">
        <v>2</v>
      </c>
      <c r="F290" s="9">
        <v>0.16700000000000001</v>
      </c>
      <c r="G290" s="9">
        <v>8</v>
      </c>
      <c r="H290" s="9">
        <v>0.25</v>
      </c>
    </row>
    <row r="291" spans="1:8" ht="15.75" customHeight="1" x14ac:dyDescent="0.3">
      <c r="A291" s="6" t="s">
        <v>214</v>
      </c>
      <c r="B291" s="5" t="s">
        <v>215</v>
      </c>
      <c r="C291" s="5" t="s">
        <v>126</v>
      </c>
      <c r="D291" s="6" t="s">
        <v>127</v>
      </c>
      <c r="E291" s="5">
        <v>2</v>
      </c>
      <c r="F291" s="5">
        <v>0.111</v>
      </c>
      <c r="G291" s="5">
        <v>8</v>
      </c>
      <c r="H291" s="5">
        <v>0.111</v>
      </c>
    </row>
    <row r="292" spans="1:8" ht="15.75" customHeight="1" x14ac:dyDescent="0.3">
      <c r="A292" s="8" t="s">
        <v>214</v>
      </c>
      <c r="B292" s="9" t="s">
        <v>215</v>
      </c>
      <c r="C292" s="9" t="s">
        <v>78</v>
      </c>
      <c r="D292" s="8" t="s">
        <v>79</v>
      </c>
      <c r="E292" s="9">
        <v>2</v>
      </c>
      <c r="F292" s="9">
        <v>0.05</v>
      </c>
      <c r="G292" s="9">
        <v>8</v>
      </c>
      <c r="H292" s="9">
        <v>3.5999999999999997E-2</v>
      </c>
    </row>
    <row r="293" spans="1:8" ht="15.75" customHeight="1" x14ac:dyDescent="0.3">
      <c r="A293" s="6" t="s">
        <v>214</v>
      </c>
      <c r="B293" s="5" t="s">
        <v>215</v>
      </c>
      <c r="C293" s="5" t="s">
        <v>216</v>
      </c>
      <c r="D293" s="6" t="s">
        <v>217</v>
      </c>
      <c r="E293" s="5">
        <v>2</v>
      </c>
      <c r="F293" s="5">
        <v>0.33300000000000002</v>
      </c>
      <c r="G293" s="5">
        <v>8</v>
      </c>
      <c r="H293" s="5">
        <v>0.5</v>
      </c>
    </row>
    <row r="294" spans="1:8" ht="15.75" customHeight="1" x14ac:dyDescent="0.3">
      <c r="A294" s="8" t="s">
        <v>214</v>
      </c>
      <c r="B294" s="9" t="s">
        <v>215</v>
      </c>
      <c r="C294" s="9" t="s">
        <v>94</v>
      </c>
      <c r="D294" s="8" t="s">
        <v>95</v>
      </c>
      <c r="E294" s="9">
        <v>1</v>
      </c>
      <c r="F294" s="9">
        <v>0.1</v>
      </c>
      <c r="G294" s="9">
        <v>9</v>
      </c>
      <c r="H294" s="9">
        <v>4.8000000000000001E-2</v>
      </c>
    </row>
    <row r="295" spans="1:8" ht="15.75" customHeight="1" x14ac:dyDescent="0.3">
      <c r="A295" s="6" t="s">
        <v>214</v>
      </c>
      <c r="B295" s="5" t="s">
        <v>215</v>
      </c>
      <c r="C295" s="5" t="s">
        <v>109</v>
      </c>
      <c r="D295" s="6" t="s">
        <v>108</v>
      </c>
      <c r="E295" s="5">
        <v>1</v>
      </c>
      <c r="F295" s="5">
        <v>0.14299999999999999</v>
      </c>
      <c r="G295" s="5">
        <v>9</v>
      </c>
      <c r="H295" s="5">
        <v>0.111</v>
      </c>
    </row>
    <row r="296" spans="1:8" ht="15.75" customHeight="1" x14ac:dyDescent="0.3">
      <c r="A296" s="8" t="s">
        <v>214</v>
      </c>
      <c r="B296" s="9" t="s">
        <v>215</v>
      </c>
      <c r="C296" s="9" t="s">
        <v>52</v>
      </c>
      <c r="D296" s="8" t="s">
        <v>53</v>
      </c>
      <c r="E296" s="9">
        <v>1</v>
      </c>
      <c r="F296" s="9">
        <v>8.3000000000000004E-2</v>
      </c>
      <c r="G296" s="9">
        <v>9</v>
      </c>
      <c r="H296" s="9">
        <v>2.1999999999999999E-2</v>
      </c>
    </row>
    <row r="297" spans="1:8" ht="15.75" customHeight="1" x14ac:dyDescent="0.3">
      <c r="A297" s="6" t="s">
        <v>214</v>
      </c>
      <c r="B297" s="5" t="s">
        <v>215</v>
      </c>
      <c r="C297" s="5" t="s">
        <v>106</v>
      </c>
      <c r="D297" s="6" t="s">
        <v>107</v>
      </c>
      <c r="E297" s="5">
        <v>1</v>
      </c>
      <c r="F297" s="5">
        <v>0.2</v>
      </c>
      <c r="G297" s="5">
        <v>9</v>
      </c>
      <c r="H297" s="5">
        <v>7.6999999999999999E-2</v>
      </c>
    </row>
    <row r="298" spans="1:8" ht="15.75" customHeight="1" x14ac:dyDescent="0.3">
      <c r="A298" s="8" t="s">
        <v>214</v>
      </c>
      <c r="B298" s="9" t="s">
        <v>215</v>
      </c>
      <c r="C298" s="9" t="s">
        <v>162</v>
      </c>
      <c r="D298" s="8" t="s">
        <v>163</v>
      </c>
      <c r="E298" s="9">
        <v>1</v>
      </c>
      <c r="F298" s="9">
        <v>0.33300000000000002</v>
      </c>
      <c r="G298" s="9">
        <v>9</v>
      </c>
      <c r="H298" s="9">
        <v>0.16700000000000001</v>
      </c>
    </row>
    <row r="299" spans="1:8" ht="15.75" customHeight="1" x14ac:dyDescent="0.3">
      <c r="A299" s="6" t="s">
        <v>214</v>
      </c>
      <c r="B299" s="5" t="s">
        <v>215</v>
      </c>
      <c r="C299" s="5" t="s">
        <v>192</v>
      </c>
      <c r="D299" s="6" t="s">
        <v>193</v>
      </c>
      <c r="E299" s="5">
        <v>1</v>
      </c>
      <c r="F299" s="5">
        <v>0.2</v>
      </c>
      <c r="G299" s="5">
        <v>9</v>
      </c>
      <c r="H299" s="5">
        <v>9.0999999999999998E-2</v>
      </c>
    </row>
    <row r="300" spans="1:8" ht="15.75" customHeight="1" x14ac:dyDescent="0.3">
      <c r="A300" s="8" t="s">
        <v>214</v>
      </c>
      <c r="B300" s="9" t="s">
        <v>215</v>
      </c>
      <c r="C300" s="9" t="s">
        <v>224</v>
      </c>
      <c r="D300" s="8" t="s">
        <v>225</v>
      </c>
      <c r="E300" s="9">
        <v>1</v>
      </c>
      <c r="F300" s="9">
        <v>0.111</v>
      </c>
      <c r="G300" s="9">
        <v>9</v>
      </c>
      <c r="H300" s="9">
        <v>3.7999999999999999E-2</v>
      </c>
    </row>
    <row r="301" spans="1:8" ht="15.75" customHeight="1" x14ac:dyDescent="0.3">
      <c r="A301" s="6" t="s">
        <v>228</v>
      </c>
      <c r="B301" s="5" t="s">
        <v>229</v>
      </c>
      <c r="C301" s="5" t="s">
        <v>188</v>
      </c>
      <c r="D301" s="6" t="s">
        <v>189</v>
      </c>
      <c r="E301" s="5">
        <v>8</v>
      </c>
      <c r="F301" s="5">
        <v>0.14299999999999999</v>
      </c>
      <c r="G301" s="5">
        <v>3</v>
      </c>
      <c r="H301" s="5">
        <v>0.13800000000000001</v>
      </c>
    </row>
    <row r="302" spans="1:8" ht="15.75" customHeight="1" x14ac:dyDescent="0.3">
      <c r="A302" s="8" t="s">
        <v>228</v>
      </c>
      <c r="B302" s="9" t="s">
        <v>229</v>
      </c>
      <c r="C302" s="9" t="s">
        <v>158</v>
      </c>
      <c r="D302" s="8" t="s">
        <v>159</v>
      </c>
      <c r="E302" s="9">
        <v>8</v>
      </c>
      <c r="F302" s="9">
        <v>0.2</v>
      </c>
      <c r="G302" s="9">
        <v>3</v>
      </c>
      <c r="H302" s="9">
        <v>0.216</v>
      </c>
    </row>
    <row r="303" spans="1:8" ht="15.75" customHeight="1" x14ac:dyDescent="0.3">
      <c r="A303" s="6" t="s">
        <v>228</v>
      </c>
      <c r="B303" s="5" t="s">
        <v>229</v>
      </c>
      <c r="C303" s="5" t="s">
        <v>90</v>
      </c>
      <c r="D303" s="6" t="s">
        <v>91</v>
      </c>
      <c r="E303" s="5">
        <v>6</v>
      </c>
      <c r="F303" s="5">
        <v>9.0999999999999998E-2</v>
      </c>
      <c r="G303" s="5">
        <v>5</v>
      </c>
      <c r="H303" s="5">
        <v>0.115</v>
      </c>
    </row>
    <row r="304" spans="1:8" ht="15.75" customHeight="1" x14ac:dyDescent="0.3">
      <c r="A304" s="8" t="s">
        <v>228</v>
      </c>
      <c r="B304" s="9" t="s">
        <v>229</v>
      </c>
      <c r="C304" s="9" t="s">
        <v>136</v>
      </c>
      <c r="D304" s="8" t="s">
        <v>137</v>
      </c>
      <c r="E304" s="9">
        <v>7</v>
      </c>
      <c r="F304" s="9">
        <v>0.16700000000000001</v>
      </c>
      <c r="G304" s="9">
        <v>5</v>
      </c>
      <c r="H304" s="9">
        <v>0.214</v>
      </c>
    </row>
    <row r="305" spans="1:8" ht="15.75" customHeight="1" x14ac:dyDescent="0.3">
      <c r="A305" s="6" t="s">
        <v>228</v>
      </c>
      <c r="B305" s="5" t="s">
        <v>229</v>
      </c>
      <c r="C305" s="5" t="s">
        <v>212</v>
      </c>
      <c r="D305" s="6" t="s">
        <v>213</v>
      </c>
      <c r="E305" s="5">
        <v>5</v>
      </c>
      <c r="F305" s="5">
        <v>0.16700000000000001</v>
      </c>
      <c r="G305" s="5">
        <v>6</v>
      </c>
      <c r="H305" s="5">
        <v>0.23799999999999999</v>
      </c>
    </row>
    <row r="306" spans="1:8" ht="15.75" customHeight="1" x14ac:dyDescent="0.3">
      <c r="A306" s="8" t="s">
        <v>228</v>
      </c>
      <c r="B306" s="9" t="s">
        <v>229</v>
      </c>
      <c r="C306" s="9" t="s">
        <v>404</v>
      </c>
      <c r="D306" s="8" t="s">
        <v>405</v>
      </c>
      <c r="E306" s="9">
        <v>4</v>
      </c>
      <c r="F306" s="9">
        <v>0.25</v>
      </c>
      <c r="G306" s="9">
        <v>7</v>
      </c>
      <c r="H306" s="9">
        <v>0.4</v>
      </c>
    </row>
    <row r="307" spans="1:8" ht="15.75" customHeight="1" x14ac:dyDescent="0.3">
      <c r="A307" s="6" t="s">
        <v>228</v>
      </c>
      <c r="B307" s="5" t="s">
        <v>229</v>
      </c>
      <c r="C307" s="5" t="s">
        <v>396</v>
      </c>
      <c r="D307" s="6" t="s">
        <v>397</v>
      </c>
      <c r="E307" s="5">
        <v>3</v>
      </c>
      <c r="F307" s="5">
        <v>0.25</v>
      </c>
      <c r="G307" s="5">
        <v>8</v>
      </c>
      <c r="H307" s="5">
        <v>0.214</v>
      </c>
    </row>
    <row r="308" spans="1:8" ht="15.75" customHeight="1" x14ac:dyDescent="0.3">
      <c r="A308" s="8" t="s">
        <v>228</v>
      </c>
      <c r="B308" s="9" t="s">
        <v>229</v>
      </c>
      <c r="C308" s="9" t="s">
        <v>180</v>
      </c>
      <c r="D308" s="8" t="s">
        <v>181</v>
      </c>
      <c r="E308" s="9">
        <v>3</v>
      </c>
      <c r="F308" s="9">
        <v>0.16700000000000001</v>
      </c>
      <c r="G308" s="9">
        <v>8</v>
      </c>
      <c r="H308" s="9">
        <v>0.23100000000000001</v>
      </c>
    </row>
    <row r="309" spans="1:8" ht="15.75" customHeight="1" x14ac:dyDescent="0.3">
      <c r="A309" s="6" t="s">
        <v>228</v>
      </c>
      <c r="B309" s="5" t="s">
        <v>229</v>
      </c>
      <c r="C309" s="5" t="s">
        <v>148</v>
      </c>
      <c r="D309" s="6" t="s">
        <v>149</v>
      </c>
      <c r="E309" s="5">
        <v>5</v>
      </c>
      <c r="F309" s="5">
        <v>9.0999999999999998E-2</v>
      </c>
      <c r="G309" s="5">
        <v>8</v>
      </c>
      <c r="H309" s="5">
        <v>0.16700000000000001</v>
      </c>
    </row>
    <row r="310" spans="1:8" ht="15.75" customHeight="1" x14ac:dyDescent="0.3">
      <c r="A310" s="8" t="s">
        <v>228</v>
      </c>
      <c r="B310" s="9" t="s">
        <v>229</v>
      </c>
      <c r="C310" s="9" t="s">
        <v>106</v>
      </c>
      <c r="D310" s="8" t="s">
        <v>107</v>
      </c>
      <c r="E310" s="9">
        <v>2</v>
      </c>
      <c r="F310" s="9">
        <v>0.2</v>
      </c>
      <c r="G310" s="9">
        <v>9</v>
      </c>
      <c r="H310" s="9">
        <v>0.154</v>
      </c>
    </row>
    <row r="311" spans="1:8" ht="15.75" customHeight="1" x14ac:dyDescent="0.3">
      <c r="A311" s="6" t="s">
        <v>228</v>
      </c>
      <c r="B311" s="5" t="s">
        <v>229</v>
      </c>
      <c r="C311" s="5" t="s">
        <v>336</v>
      </c>
      <c r="D311" s="6" t="s">
        <v>337</v>
      </c>
      <c r="E311" s="5">
        <v>2</v>
      </c>
      <c r="F311" s="5">
        <v>0.111</v>
      </c>
      <c r="G311" s="5">
        <v>9</v>
      </c>
      <c r="H311" s="5">
        <v>0.11799999999999999</v>
      </c>
    </row>
    <row r="312" spans="1:8" ht="15.75" customHeight="1" x14ac:dyDescent="0.3">
      <c r="A312" s="8" t="s">
        <v>228</v>
      </c>
      <c r="B312" s="9" t="s">
        <v>229</v>
      </c>
      <c r="C312" s="9" t="s">
        <v>232</v>
      </c>
      <c r="D312" s="8" t="s">
        <v>233</v>
      </c>
      <c r="E312" s="9">
        <v>2</v>
      </c>
      <c r="F312" s="9">
        <v>0.25</v>
      </c>
      <c r="G312" s="9">
        <v>9</v>
      </c>
      <c r="H312" s="9">
        <v>0.2</v>
      </c>
    </row>
    <row r="313" spans="1:8" ht="15.75" customHeight="1" x14ac:dyDescent="0.3">
      <c r="A313" s="6" t="s">
        <v>228</v>
      </c>
      <c r="B313" s="5" t="s">
        <v>229</v>
      </c>
      <c r="C313" s="5" t="s">
        <v>194</v>
      </c>
      <c r="D313" s="6" t="s">
        <v>195</v>
      </c>
      <c r="E313" s="5">
        <v>1</v>
      </c>
      <c r="F313" s="5">
        <v>0.33300000000000002</v>
      </c>
      <c r="G313" s="5">
        <v>10</v>
      </c>
      <c r="H313" s="5">
        <v>0.25</v>
      </c>
    </row>
    <row r="314" spans="1:8" ht="15.75" customHeight="1" x14ac:dyDescent="0.3">
      <c r="A314" s="8" t="s">
        <v>228</v>
      </c>
      <c r="B314" s="9" t="s">
        <v>229</v>
      </c>
      <c r="C314" s="9" t="s">
        <v>23</v>
      </c>
      <c r="D314" s="8" t="s">
        <v>24</v>
      </c>
      <c r="E314" s="9">
        <v>1</v>
      </c>
      <c r="F314" s="9">
        <v>0.111</v>
      </c>
      <c r="G314" s="9">
        <v>10</v>
      </c>
      <c r="H314" s="9">
        <v>3.7999999999999999E-2</v>
      </c>
    </row>
    <row r="315" spans="1:8" ht="15.75" customHeight="1" x14ac:dyDescent="0.3">
      <c r="A315" s="6" t="s">
        <v>228</v>
      </c>
      <c r="B315" s="5" t="s">
        <v>229</v>
      </c>
      <c r="C315" s="5" t="s">
        <v>234</v>
      </c>
      <c r="D315" s="6" t="s">
        <v>235</v>
      </c>
      <c r="E315" s="5">
        <v>1</v>
      </c>
      <c r="F315" s="5">
        <v>0.2</v>
      </c>
      <c r="G315" s="5">
        <v>10</v>
      </c>
      <c r="H315" s="5">
        <v>6.2E-2</v>
      </c>
    </row>
    <row r="316" spans="1:8" ht="15.75" customHeight="1" x14ac:dyDescent="0.3">
      <c r="A316" s="8" t="s">
        <v>228</v>
      </c>
      <c r="B316" s="9" t="s">
        <v>229</v>
      </c>
      <c r="C316" s="9" t="s">
        <v>230</v>
      </c>
      <c r="D316" s="8" t="s">
        <v>231</v>
      </c>
      <c r="E316" s="9">
        <v>1</v>
      </c>
      <c r="F316" s="9">
        <v>0.33300000000000002</v>
      </c>
      <c r="G316" s="9">
        <v>10</v>
      </c>
      <c r="H316" s="9">
        <v>0.125</v>
      </c>
    </row>
    <row r="317" spans="1:8" ht="15.75" customHeight="1" x14ac:dyDescent="0.3">
      <c r="A317" s="6" t="s">
        <v>228</v>
      </c>
      <c r="B317" s="5" t="s">
        <v>229</v>
      </c>
      <c r="C317" s="5" t="s">
        <v>206</v>
      </c>
      <c r="D317" s="6" t="s">
        <v>207</v>
      </c>
      <c r="E317" s="5">
        <v>1</v>
      </c>
      <c r="F317" s="5">
        <v>0.2</v>
      </c>
      <c r="G317" s="5">
        <v>10</v>
      </c>
      <c r="H317" s="5">
        <v>0.14299999999999999</v>
      </c>
    </row>
    <row r="318" spans="1:8" ht="15.75" customHeight="1" x14ac:dyDescent="0.3">
      <c r="A318" s="8" t="s">
        <v>228</v>
      </c>
      <c r="B318" s="9" t="s">
        <v>229</v>
      </c>
      <c r="C318" s="9" t="s">
        <v>412</v>
      </c>
      <c r="D318" s="8" t="s">
        <v>413</v>
      </c>
      <c r="E318" s="9">
        <v>1</v>
      </c>
      <c r="F318" s="9">
        <v>0.33300000000000002</v>
      </c>
      <c r="G318" s="9">
        <v>10</v>
      </c>
      <c r="H318" s="9">
        <v>0.25</v>
      </c>
    </row>
    <row r="319" spans="1:8" ht="15.75" customHeight="1" x14ac:dyDescent="0.3">
      <c r="A319" s="6" t="s">
        <v>228</v>
      </c>
      <c r="B319" s="5" t="s">
        <v>229</v>
      </c>
      <c r="C319" s="5" t="s">
        <v>414</v>
      </c>
      <c r="D319" s="6" t="s">
        <v>415</v>
      </c>
      <c r="E319" s="5">
        <v>1</v>
      </c>
      <c r="F319" s="5">
        <v>0.25</v>
      </c>
      <c r="G319" s="5">
        <v>10</v>
      </c>
      <c r="H319" s="5">
        <v>7.6999999999999999E-2</v>
      </c>
    </row>
    <row r="320" spans="1:8" ht="15.75" customHeight="1" x14ac:dyDescent="0.3">
      <c r="A320" s="8" t="s">
        <v>228</v>
      </c>
      <c r="B320" s="9" t="s">
        <v>229</v>
      </c>
      <c r="C320" s="9" t="s">
        <v>254</v>
      </c>
      <c r="D320" s="8" t="s">
        <v>255</v>
      </c>
      <c r="E320" s="9">
        <v>1</v>
      </c>
      <c r="F320" s="9">
        <v>0.33300000000000002</v>
      </c>
      <c r="G320" s="9">
        <v>10</v>
      </c>
      <c r="H320" s="9">
        <v>3.2000000000000001E-2</v>
      </c>
    </row>
    <row r="321" spans="1:8" ht="15.75" customHeight="1" x14ac:dyDescent="0.3">
      <c r="A321" s="6" t="s">
        <v>236</v>
      </c>
      <c r="B321" s="5" t="s">
        <v>237</v>
      </c>
      <c r="C321" s="5" t="s">
        <v>70</v>
      </c>
      <c r="D321" s="6" t="s">
        <v>71</v>
      </c>
      <c r="E321" s="5">
        <v>11</v>
      </c>
      <c r="F321" s="5">
        <v>0.2</v>
      </c>
      <c r="G321" s="5">
        <v>3</v>
      </c>
      <c r="H321" s="5">
        <v>0.22900000000000001</v>
      </c>
    </row>
    <row r="322" spans="1:8" ht="15.75" customHeight="1" x14ac:dyDescent="0.3">
      <c r="A322" s="8" t="s">
        <v>236</v>
      </c>
      <c r="B322" s="9" t="s">
        <v>237</v>
      </c>
      <c r="C322" s="9" t="s">
        <v>110</v>
      </c>
      <c r="D322" s="8" t="s">
        <v>111</v>
      </c>
      <c r="E322" s="9">
        <v>4</v>
      </c>
      <c r="F322" s="9">
        <v>0.33300000000000002</v>
      </c>
      <c r="G322" s="9">
        <v>6</v>
      </c>
      <c r="H322" s="9">
        <v>0.36399999999999999</v>
      </c>
    </row>
    <row r="323" spans="1:8" ht="15.75" customHeight="1" x14ac:dyDescent="0.3">
      <c r="A323" s="6" t="s">
        <v>236</v>
      </c>
      <c r="B323" s="5" t="s">
        <v>237</v>
      </c>
      <c r="C323" s="5" t="s">
        <v>240</v>
      </c>
      <c r="D323" s="6" t="s">
        <v>241</v>
      </c>
      <c r="E323" s="5">
        <v>4</v>
      </c>
      <c r="F323" s="5">
        <v>9.0999999999999998E-2</v>
      </c>
      <c r="G323" s="5">
        <v>6</v>
      </c>
      <c r="H323" s="5">
        <v>0.16</v>
      </c>
    </row>
    <row r="324" spans="1:8" ht="15.75" customHeight="1" x14ac:dyDescent="0.3">
      <c r="A324" s="8" t="s">
        <v>236</v>
      </c>
      <c r="B324" s="9" t="s">
        <v>237</v>
      </c>
      <c r="C324" s="9" t="s">
        <v>238</v>
      </c>
      <c r="D324" s="8" t="s">
        <v>239</v>
      </c>
      <c r="E324" s="9">
        <v>3</v>
      </c>
      <c r="F324" s="9">
        <v>0.16700000000000001</v>
      </c>
      <c r="G324" s="9">
        <v>7</v>
      </c>
      <c r="H324" s="9">
        <v>0.25</v>
      </c>
    </row>
    <row r="325" spans="1:8" ht="15.75" customHeight="1" x14ac:dyDescent="0.3">
      <c r="A325" s="6" t="s">
        <v>236</v>
      </c>
      <c r="B325" s="5" t="s">
        <v>237</v>
      </c>
      <c r="C325" s="5" t="s">
        <v>41</v>
      </c>
      <c r="D325" s="6" t="s">
        <v>42</v>
      </c>
      <c r="E325" s="5">
        <v>1</v>
      </c>
      <c r="F325" s="5">
        <v>0.16700000000000001</v>
      </c>
      <c r="G325" s="5">
        <v>9</v>
      </c>
      <c r="H325" s="5">
        <v>3.7999999999999999E-2</v>
      </c>
    </row>
    <row r="326" spans="1:8" ht="15.75" customHeight="1" x14ac:dyDescent="0.3">
      <c r="A326" s="8" t="s">
        <v>236</v>
      </c>
      <c r="B326" s="9" t="s">
        <v>237</v>
      </c>
      <c r="C326" s="9" t="s">
        <v>78</v>
      </c>
      <c r="D326" s="8" t="s">
        <v>79</v>
      </c>
      <c r="E326" s="9">
        <v>1</v>
      </c>
      <c r="F326" s="9">
        <v>0.05</v>
      </c>
      <c r="G326" s="9">
        <v>9</v>
      </c>
      <c r="H326" s="9">
        <v>1.7999999999999999E-2</v>
      </c>
    </row>
    <row r="327" spans="1:8" ht="15.75" customHeight="1" x14ac:dyDescent="0.3">
      <c r="A327" s="6" t="s">
        <v>236</v>
      </c>
      <c r="B327" s="5" t="s">
        <v>237</v>
      </c>
      <c r="C327" s="5" t="s">
        <v>112</v>
      </c>
      <c r="D327" s="6" t="s">
        <v>113</v>
      </c>
      <c r="E327" s="5">
        <v>1</v>
      </c>
      <c r="F327" s="5">
        <v>0.1</v>
      </c>
      <c r="G327" s="5">
        <v>9</v>
      </c>
      <c r="H327" s="5">
        <v>0.05</v>
      </c>
    </row>
    <row r="328" spans="1:8" ht="15.75" customHeight="1" x14ac:dyDescent="0.3">
      <c r="A328" s="8" t="s">
        <v>236</v>
      </c>
      <c r="B328" s="9" t="s">
        <v>237</v>
      </c>
      <c r="C328" s="9" t="s">
        <v>242</v>
      </c>
      <c r="D328" s="8" t="s">
        <v>243</v>
      </c>
      <c r="E328" s="9">
        <v>1</v>
      </c>
      <c r="F328" s="9">
        <v>0.25</v>
      </c>
      <c r="G328" s="9">
        <v>9</v>
      </c>
      <c r="H328" s="9">
        <v>0.2</v>
      </c>
    </row>
    <row r="329" spans="1:8" ht="15.75" customHeight="1" x14ac:dyDescent="0.3">
      <c r="A329" s="6" t="s">
        <v>236</v>
      </c>
      <c r="B329" s="5" t="s">
        <v>237</v>
      </c>
      <c r="C329" s="5" t="s">
        <v>50</v>
      </c>
      <c r="D329" s="6" t="s">
        <v>51</v>
      </c>
      <c r="E329" s="5">
        <v>1</v>
      </c>
      <c r="F329" s="5">
        <v>0.125</v>
      </c>
      <c r="G329" s="5">
        <v>9</v>
      </c>
      <c r="H329" s="5">
        <v>6.2E-2</v>
      </c>
    </row>
    <row r="330" spans="1:8" ht="15.75" customHeight="1" x14ac:dyDescent="0.3">
      <c r="A330" s="6" t="s">
        <v>244</v>
      </c>
      <c r="B330" s="5" t="s">
        <v>245</v>
      </c>
      <c r="C330" s="5" t="s">
        <v>15</v>
      </c>
      <c r="D330" s="6" t="s">
        <v>16</v>
      </c>
      <c r="E330" s="5">
        <v>15</v>
      </c>
      <c r="F330" s="5">
        <v>0.125</v>
      </c>
      <c r="G330" s="5">
        <v>1</v>
      </c>
      <c r="H330" s="5">
        <v>0.221</v>
      </c>
    </row>
    <row r="331" spans="1:8" ht="15.75" customHeight="1" x14ac:dyDescent="0.3">
      <c r="A331" s="8" t="s">
        <v>244</v>
      </c>
      <c r="B331" s="9" t="s">
        <v>245</v>
      </c>
      <c r="C331" s="9" t="s">
        <v>90</v>
      </c>
      <c r="D331" s="8" t="s">
        <v>91</v>
      </c>
      <c r="E331" s="9">
        <v>10</v>
      </c>
      <c r="F331" s="9">
        <v>9.0999999999999998E-2</v>
      </c>
      <c r="G331" s="9">
        <v>2</v>
      </c>
      <c r="H331" s="9">
        <v>0.192</v>
      </c>
    </row>
    <row r="332" spans="1:8" ht="15.75" customHeight="1" x14ac:dyDescent="0.3">
      <c r="A332" s="6" t="s">
        <v>244</v>
      </c>
      <c r="B332" s="5" t="s">
        <v>245</v>
      </c>
      <c r="C332" s="5" t="s">
        <v>92</v>
      </c>
      <c r="D332" s="6" t="s">
        <v>93</v>
      </c>
      <c r="E332" s="5">
        <v>8</v>
      </c>
      <c r="F332" s="5">
        <v>9.0999999999999998E-2</v>
      </c>
      <c r="G332" s="5">
        <v>3</v>
      </c>
      <c r="H332" s="5">
        <v>0.308</v>
      </c>
    </row>
    <row r="333" spans="1:8" ht="15.75" customHeight="1" x14ac:dyDescent="0.3">
      <c r="A333" s="8" t="s">
        <v>244</v>
      </c>
      <c r="B333" s="9" t="s">
        <v>245</v>
      </c>
      <c r="C333" s="9" t="s">
        <v>86</v>
      </c>
      <c r="D333" s="8" t="s">
        <v>87</v>
      </c>
      <c r="E333" s="9">
        <v>8</v>
      </c>
      <c r="F333" s="9">
        <v>0.25</v>
      </c>
      <c r="G333" s="9">
        <v>3</v>
      </c>
      <c r="H333" s="9">
        <v>0.61499999999999999</v>
      </c>
    </row>
    <row r="334" spans="1:8" ht="15.75" customHeight="1" x14ac:dyDescent="0.3">
      <c r="A334" s="6" t="s">
        <v>244</v>
      </c>
      <c r="B334" s="5" t="s">
        <v>245</v>
      </c>
      <c r="C334" s="5" t="s">
        <v>37</v>
      </c>
      <c r="D334" s="6" t="s">
        <v>38</v>
      </c>
      <c r="E334" s="5">
        <v>6</v>
      </c>
      <c r="F334" s="5">
        <v>0.2</v>
      </c>
      <c r="G334" s="5">
        <v>5</v>
      </c>
      <c r="H334" s="5">
        <v>0.23100000000000001</v>
      </c>
    </row>
    <row r="335" spans="1:8" ht="15.75" customHeight="1" x14ac:dyDescent="0.3">
      <c r="A335" s="8" t="s">
        <v>244</v>
      </c>
      <c r="B335" s="9" t="s">
        <v>245</v>
      </c>
      <c r="C335" s="9" t="s">
        <v>136</v>
      </c>
      <c r="D335" s="8" t="s">
        <v>137</v>
      </c>
      <c r="E335" s="9">
        <v>9</v>
      </c>
      <c r="F335" s="9">
        <v>0.16700000000000001</v>
      </c>
      <c r="G335" s="9">
        <v>5</v>
      </c>
      <c r="H335" s="9">
        <v>0.214</v>
      </c>
    </row>
    <row r="336" spans="1:8" ht="15.75" customHeight="1" x14ac:dyDescent="0.3">
      <c r="A336" s="6" t="s">
        <v>244</v>
      </c>
      <c r="B336" s="5" t="s">
        <v>245</v>
      </c>
      <c r="C336" s="5" t="s">
        <v>96</v>
      </c>
      <c r="D336" s="6" t="s">
        <v>97</v>
      </c>
      <c r="E336" s="5">
        <v>6</v>
      </c>
      <c r="F336" s="5">
        <v>0.2</v>
      </c>
      <c r="G336" s="5">
        <v>5</v>
      </c>
      <c r="H336" s="5">
        <v>0.42899999999999999</v>
      </c>
    </row>
    <row r="337" spans="1:8" ht="15.75" customHeight="1" x14ac:dyDescent="0.3">
      <c r="A337" s="8" t="s">
        <v>244</v>
      </c>
      <c r="B337" s="9" t="s">
        <v>245</v>
      </c>
      <c r="C337" s="9" t="s">
        <v>382</v>
      </c>
      <c r="D337" s="8" t="s">
        <v>383</v>
      </c>
      <c r="E337" s="9">
        <v>4</v>
      </c>
      <c r="F337" s="9">
        <v>0.2</v>
      </c>
      <c r="G337" s="9">
        <v>6</v>
      </c>
      <c r="H337" s="9">
        <v>0.44400000000000001</v>
      </c>
    </row>
    <row r="338" spans="1:8" ht="15.75" customHeight="1" x14ac:dyDescent="0.3">
      <c r="A338" s="6" t="s">
        <v>244</v>
      </c>
      <c r="B338" s="5" t="s">
        <v>245</v>
      </c>
      <c r="C338" s="5" t="s">
        <v>18</v>
      </c>
      <c r="D338" s="6" t="s">
        <v>19</v>
      </c>
      <c r="E338" s="5">
        <v>4</v>
      </c>
      <c r="F338" s="5">
        <v>0.111</v>
      </c>
      <c r="G338" s="5">
        <v>6</v>
      </c>
      <c r="H338" s="5">
        <v>0.23499999999999999</v>
      </c>
    </row>
    <row r="339" spans="1:8" ht="15.75" customHeight="1" x14ac:dyDescent="0.3">
      <c r="A339" s="8" t="s">
        <v>244</v>
      </c>
      <c r="B339" s="9" t="s">
        <v>245</v>
      </c>
      <c r="C339" s="9" t="s">
        <v>32</v>
      </c>
      <c r="D339" s="8" t="s">
        <v>33</v>
      </c>
      <c r="E339" s="9">
        <v>3</v>
      </c>
      <c r="F339" s="9">
        <v>9.0999999999999998E-2</v>
      </c>
      <c r="G339" s="9">
        <v>7</v>
      </c>
      <c r="H339" s="9">
        <v>0.15</v>
      </c>
    </row>
    <row r="340" spans="1:8" ht="15.75" customHeight="1" x14ac:dyDescent="0.3">
      <c r="A340" s="6" t="s">
        <v>244</v>
      </c>
      <c r="B340" s="5" t="s">
        <v>245</v>
      </c>
      <c r="C340" s="5" t="s">
        <v>98</v>
      </c>
      <c r="D340" s="6" t="s">
        <v>99</v>
      </c>
      <c r="E340" s="5">
        <v>3</v>
      </c>
      <c r="F340" s="5">
        <v>0.33300000000000002</v>
      </c>
      <c r="G340" s="5">
        <v>7</v>
      </c>
      <c r="H340" s="5">
        <v>0.42899999999999999</v>
      </c>
    </row>
    <row r="341" spans="1:8" ht="15.75" customHeight="1" x14ac:dyDescent="0.3">
      <c r="A341" s="8" t="s">
        <v>244</v>
      </c>
      <c r="B341" s="9" t="s">
        <v>245</v>
      </c>
      <c r="C341" s="9" t="s">
        <v>144</v>
      </c>
      <c r="D341" s="8" t="s">
        <v>145</v>
      </c>
      <c r="E341" s="9">
        <v>2</v>
      </c>
      <c r="F341" s="9">
        <v>0.2</v>
      </c>
      <c r="G341" s="9">
        <v>8</v>
      </c>
      <c r="H341" s="9">
        <v>0.13300000000000001</v>
      </c>
    </row>
    <row r="342" spans="1:8" ht="15.75" customHeight="1" x14ac:dyDescent="0.3">
      <c r="A342" s="6" t="s">
        <v>244</v>
      </c>
      <c r="B342" s="5" t="s">
        <v>245</v>
      </c>
      <c r="C342" s="5" t="s">
        <v>368</v>
      </c>
      <c r="D342" s="6" t="s">
        <v>369</v>
      </c>
      <c r="E342" s="5">
        <v>2</v>
      </c>
      <c r="F342" s="5">
        <v>0.33300000000000002</v>
      </c>
      <c r="G342" s="5">
        <v>8</v>
      </c>
      <c r="H342" s="5">
        <v>0.28599999999999998</v>
      </c>
    </row>
    <row r="343" spans="1:8" ht="15.75" customHeight="1" x14ac:dyDescent="0.3">
      <c r="A343" s="8" t="s">
        <v>244</v>
      </c>
      <c r="B343" s="9" t="s">
        <v>245</v>
      </c>
      <c r="C343" s="9" t="s">
        <v>28</v>
      </c>
      <c r="D343" s="8" t="s">
        <v>29</v>
      </c>
      <c r="E343" s="9">
        <v>2</v>
      </c>
      <c r="F343" s="9">
        <v>0.2</v>
      </c>
      <c r="G343" s="9">
        <v>8</v>
      </c>
      <c r="H343" s="9">
        <v>0.25</v>
      </c>
    </row>
    <row r="344" spans="1:8" ht="15.75" customHeight="1" x14ac:dyDescent="0.3">
      <c r="A344" s="6" t="s">
        <v>244</v>
      </c>
      <c r="B344" s="5" t="s">
        <v>245</v>
      </c>
      <c r="C344" s="5" t="s">
        <v>94</v>
      </c>
      <c r="D344" s="6" t="s">
        <v>95</v>
      </c>
      <c r="E344" s="5">
        <v>3</v>
      </c>
      <c r="F344" s="5">
        <v>0.1</v>
      </c>
      <c r="G344" s="5">
        <v>8</v>
      </c>
      <c r="H344" s="5">
        <v>9.5000000000000001E-2</v>
      </c>
    </row>
    <row r="345" spans="1:8" ht="15.75" customHeight="1" x14ac:dyDescent="0.3">
      <c r="A345" s="8" t="s">
        <v>244</v>
      </c>
      <c r="B345" s="9" t="s">
        <v>245</v>
      </c>
      <c r="C345" s="9" t="s">
        <v>362</v>
      </c>
      <c r="D345" s="8" t="s">
        <v>363</v>
      </c>
      <c r="E345" s="9">
        <v>2</v>
      </c>
      <c r="F345" s="9">
        <v>0.16700000000000001</v>
      </c>
      <c r="G345" s="9">
        <v>8</v>
      </c>
      <c r="H345" s="9">
        <v>0.14299999999999999</v>
      </c>
    </row>
    <row r="346" spans="1:8" ht="15.75" customHeight="1" x14ac:dyDescent="0.3">
      <c r="A346" s="6" t="s">
        <v>244</v>
      </c>
      <c r="B346" s="5" t="s">
        <v>245</v>
      </c>
      <c r="C346" s="5" t="s">
        <v>364</v>
      </c>
      <c r="D346" s="6" t="s">
        <v>365</v>
      </c>
      <c r="E346" s="5">
        <v>1</v>
      </c>
      <c r="F346" s="5">
        <v>0.33300000000000002</v>
      </c>
      <c r="G346" s="5">
        <v>9</v>
      </c>
      <c r="H346" s="5">
        <v>0.25</v>
      </c>
    </row>
    <row r="347" spans="1:8" ht="15.75" customHeight="1" x14ac:dyDescent="0.3">
      <c r="A347" s="8" t="s">
        <v>244</v>
      </c>
      <c r="B347" s="9" t="s">
        <v>245</v>
      </c>
      <c r="C347" s="9" t="s">
        <v>52</v>
      </c>
      <c r="D347" s="8" t="s">
        <v>53</v>
      </c>
      <c r="E347" s="9">
        <v>1</v>
      </c>
      <c r="F347" s="9">
        <v>8.3000000000000004E-2</v>
      </c>
      <c r="G347" s="9">
        <v>9</v>
      </c>
      <c r="H347" s="9">
        <v>2.1999999999999999E-2</v>
      </c>
    </row>
    <row r="348" spans="1:8" ht="15.75" customHeight="1" x14ac:dyDescent="0.3">
      <c r="A348" s="6" t="s">
        <v>244</v>
      </c>
      <c r="B348" s="5" t="s">
        <v>245</v>
      </c>
      <c r="C348" s="5" t="s">
        <v>176</v>
      </c>
      <c r="D348" s="6" t="s">
        <v>177</v>
      </c>
      <c r="E348" s="5">
        <v>1</v>
      </c>
      <c r="F348" s="5">
        <v>0.25</v>
      </c>
      <c r="G348" s="5">
        <v>9</v>
      </c>
      <c r="H348" s="5">
        <v>7.0999999999999994E-2</v>
      </c>
    </row>
    <row r="349" spans="1:8" ht="15.75" customHeight="1" x14ac:dyDescent="0.3">
      <c r="A349" s="8" t="s">
        <v>244</v>
      </c>
      <c r="B349" s="9" t="s">
        <v>245</v>
      </c>
      <c r="C349" s="9" t="s">
        <v>299</v>
      </c>
      <c r="D349" s="8" t="s">
        <v>300</v>
      </c>
      <c r="E349" s="9">
        <v>1</v>
      </c>
      <c r="F349" s="9">
        <v>0.25</v>
      </c>
      <c r="G349" s="9">
        <v>9</v>
      </c>
      <c r="H349" s="9">
        <v>8.3000000000000004E-2</v>
      </c>
    </row>
    <row r="350" spans="1:8" ht="15.75" customHeight="1" x14ac:dyDescent="0.3">
      <c r="A350" s="6" t="s">
        <v>244</v>
      </c>
      <c r="B350" s="5" t="s">
        <v>245</v>
      </c>
      <c r="C350" s="5" t="s">
        <v>30</v>
      </c>
      <c r="D350" s="6" t="s">
        <v>31</v>
      </c>
      <c r="E350" s="5">
        <v>1</v>
      </c>
      <c r="F350" s="5">
        <v>0.2</v>
      </c>
      <c r="G350" s="5">
        <v>9</v>
      </c>
      <c r="H350" s="5">
        <v>0.125</v>
      </c>
    </row>
    <row r="351" spans="1:8" ht="15.75" customHeight="1" x14ac:dyDescent="0.3">
      <c r="A351" s="8" t="s">
        <v>244</v>
      </c>
      <c r="B351" s="9" t="s">
        <v>245</v>
      </c>
      <c r="C351" s="9" t="s">
        <v>366</v>
      </c>
      <c r="D351" s="8" t="s">
        <v>367</v>
      </c>
      <c r="E351" s="9">
        <v>1</v>
      </c>
      <c r="F351" s="9">
        <v>0.33300000000000002</v>
      </c>
      <c r="G351" s="9">
        <v>9</v>
      </c>
      <c r="H351" s="9">
        <v>0.25</v>
      </c>
    </row>
    <row r="352" spans="1:8" ht="15.75" customHeight="1" x14ac:dyDescent="0.3">
      <c r="A352" s="6" t="s">
        <v>244</v>
      </c>
      <c r="B352" s="5" t="s">
        <v>245</v>
      </c>
      <c r="C352" s="5" t="s">
        <v>242</v>
      </c>
      <c r="D352" s="6" t="s">
        <v>243</v>
      </c>
      <c r="E352" s="5">
        <v>1</v>
      </c>
      <c r="F352" s="5">
        <v>0.25</v>
      </c>
      <c r="G352" s="5">
        <v>9</v>
      </c>
      <c r="H352" s="5">
        <v>0.2</v>
      </c>
    </row>
    <row r="353" spans="1:8" ht="15.75" customHeight="1" x14ac:dyDescent="0.3">
      <c r="A353" s="8" t="s">
        <v>244</v>
      </c>
      <c r="B353" s="9" t="s">
        <v>245</v>
      </c>
      <c r="C353" s="9" t="s">
        <v>370</v>
      </c>
      <c r="D353" s="8" t="s">
        <v>371</v>
      </c>
      <c r="E353" s="9">
        <v>2</v>
      </c>
      <c r="F353" s="9">
        <v>0.33300000000000002</v>
      </c>
      <c r="G353" s="9">
        <v>9</v>
      </c>
      <c r="H353" s="9">
        <v>0.125</v>
      </c>
    </row>
    <row r="354" spans="1:8" ht="15.75" customHeight="1" x14ac:dyDescent="0.3">
      <c r="A354" s="6" t="s">
        <v>244</v>
      </c>
      <c r="B354" s="5" t="s">
        <v>245</v>
      </c>
      <c r="C354" s="5" t="s">
        <v>216</v>
      </c>
      <c r="D354" s="6" t="s">
        <v>217</v>
      </c>
      <c r="E354" s="5">
        <v>1</v>
      </c>
      <c r="F354" s="5">
        <v>0.33300000000000002</v>
      </c>
      <c r="G354" s="5">
        <v>9</v>
      </c>
      <c r="H354" s="5">
        <v>0.25</v>
      </c>
    </row>
    <row r="355" spans="1:8" ht="15.75" customHeight="1" x14ac:dyDescent="0.3">
      <c r="A355" s="6" t="s">
        <v>246</v>
      </c>
      <c r="B355" s="5" t="s">
        <v>247</v>
      </c>
      <c r="C355" s="5" t="s">
        <v>254</v>
      </c>
      <c r="D355" s="6" t="s">
        <v>255</v>
      </c>
      <c r="E355" s="5">
        <v>17</v>
      </c>
      <c r="F355" s="5">
        <v>0.33300000000000002</v>
      </c>
      <c r="G355" s="5">
        <v>1</v>
      </c>
      <c r="H355" s="5">
        <v>0.54800000000000004</v>
      </c>
    </row>
    <row r="356" spans="1:8" ht="15.75" customHeight="1" x14ac:dyDescent="0.3">
      <c r="A356" s="8" t="s">
        <v>246</v>
      </c>
      <c r="B356" s="9" t="s">
        <v>247</v>
      </c>
      <c r="C356" s="9" t="s">
        <v>188</v>
      </c>
      <c r="D356" s="8" t="s">
        <v>189</v>
      </c>
      <c r="E356" s="9">
        <v>14</v>
      </c>
      <c r="F356" s="9">
        <v>0.14299999999999999</v>
      </c>
      <c r="G356" s="9">
        <v>2</v>
      </c>
      <c r="H356" s="9">
        <v>0.24099999999999999</v>
      </c>
    </row>
    <row r="357" spans="1:8" ht="15.75" customHeight="1" x14ac:dyDescent="0.3">
      <c r="A357" s="6" t="s">
        <v>246</v>
      </c>
      <c r="B357" s="5" t="s">
        <v>247</v>
      </c>
      <c r="C357" s="5" t="s">
        <v>158</v>
      </c>
      <c r="D357" s="6" t="s">
        <v>159</v>
      </c>
      <c r="E357" s="5">
        <v>11</v>
      </c>
      <c r="F357" s="5">
        <v>0.2</v>
      </c>
      <c r="G357" s="5">
        <v>4</v>
      </c>
      <c r="H357" s="5">
        <v>0.29699999999999999</v>
      </c>
    </row>
    <row r="358" spans="1:8" ht="15.75" customHeight="1" x14ac:dyDescent="0.3">
      <c r="A358" s="8" t="s">
        <v>246</v>
      </c>
      <c r="B358" s="9" t="s">
        <v>247</v>
      </c>
      <c r="C358" s="9" t="s">
        <v>43</v>
      </c>
      <c r="D358" s="8" t="s">
        <v>44</v>
      </c>
      <c r="E358" s="9">
        <v>10</v>
      </c>
      <c r="F358" s="9">
        <v>0.33300000000000002</v>
      </c>
      <c r="G358" s="9">
        <v>5</v>
      </c>
      <c r="H358" s="9">
        <v>0.33300000000000002</v>
      </c>
    </row>
    <row r="359" spans="1:8" ht="15.75" customHeight="1" x14ac:dyDescent="0.3">
      <c r="A359" s="6" t="s">
        <v>246</v>
      </c>
      <c r="B359" s="5" t="s">
        <v>247</v>
      </c>
      <c r="C359" s="5" t="s">
        <v>248</v>
      </c>
      <c r="D359" s="6" t="s">
        <v>249</v>
      </c>
      <c r="E359" s="5">
        <v>8</v>
      </c>
      <c r="F359" s="5">
        <v>0.33300000000000002</v>
      </c>
      <c r="G359" s="5">
        <v>6</v>
      </c>
      <c r="H359" s="5">
        <v>0.57099999999999995</v>
      </c>
    </row>
    <row r="360" spans="1:8" ht="15.75" customHeight="1" x14ac:dyDescent="0.3">
      <c r="A360" s="8" t="s">
        <v>246</v>
      </c>
      <c r="B360" s="9" t="s">
        <v>247</v>
      </c>
      <c r="C360" s="9" t="s">
        <v>250</v>
      </c>
      <c r="D360" s="8" t="s">
        <v>251</v>
      </c>
      <c r="E360" s="9">
        <v>7</v>
      </c>
      <c r="F360" s="9">
        <v>0.25</v>
      </c>
      <c r="G360" s="9">
        <v>7</v>
      </c>
      <c r="H360" s="9">
        <v>0.41199999999999998</v>
      </c>
    </row>
    <row r="361" spans="1:8" ht="15.75" customHeight="1" x14ac:dyDescent="0.3">
      <c r="A361" s="6" t="s">
        <v>246</v>
      </c>
      <c r="B361" s="5" t="s">
        <v>247</v>
      </c>
      <c r="C361" s="5" t="s">
        <v>90</v>
      </c>
      <c r="D361" s="6" t="s">
        <v>91</v>
      </c>
      <c r="E361" s="5">
        <v>6</v>
      </c>
      <c r="F361" s="5">
        <v>9.0999999999999998E-2</v>
      </c>
      <c r="G361" s="5">
        <v>8</v>
      </c>
      <c r="H361" s="5">
        <v>0.115</v>
      </c>
    </row>
    <row r="362" spans="1:8" ht="15.75" customHeight="1" x14ac:dyDescent="0.3">
      <c r="A362" s="8" t="s">
        <v>246</v>
      </c>
      <c r="B362" s="20" t="s">
        <v>247</v>
      </c>
      <c r="C362" s="9" t="s">
        <v>230</v>
      </c>
      <c r="D362" s="8" t="s">
        <v>231</v>
      </c>
      <c r="E362" s="9">
        <v>6</v>
      </c>
      <c r="F362" s="9">
        <v>0.33300000000000002</v>
      </c>
      <c r="G362" s="9">
        <v>8</v>
      </c>
      <c r="H362" s="9">
        <v>0.75</v>
      </c>
    </row>
    <row r="363" spans="1:8" ht="15.75" customHeight="1" x14ac:dyDescent="0.3">
      <c r="A363" s="6" t="s">
        <v>246</v>
      </c>
      <c r="B363" s="5" t="s">
        <v>247</v>
      </c>
      <c r="C363" s="5" t="s">
        <v>212</v>
      </c>
      <c r="D363" s="6" t="s">
        <v>213</v>
      </c>
      <c r="E363" s="5">
        <v>6</v>
      </c>
      <c r="F363" s="5">
        <v>0.16700000000000001</v>
      </c>
      <c r="G363" s="5">
        <v>8</v>
      </c>
      <c r="H363" s="5">
        <v>0.28599999999999998</v>
      </c>
    </row>
    <row r="364" spans="1:8" ht="15.75" customHeight="1" x14ac:dyDescent="0.3">
      <c r="A364" s="8" t="s">
        <v>246</v>
      </c>
      <c r="B364" s="20" t="s">
        <v>247</v>
      </c>
      <c r="C364" s="9" t="s">
        <v>180</v>
      </c>
      <c r="D364" s="8" t="s">
        <v>181</v>
      </c>
      <c r="E364" s="9">
        <v>5</v>
      </c>
      <c r="F364" s="9">
        <v>0.16700000000000001</v>
      </c>
      <c r="G364" s="9">
        <v>9</v>
      </c>
      <c r="H364" s="9">
        <v>0.38500000000000001</v>
      </c>
    </row>
    <row r="365" spans="1:8" ht="15.75" customHeight="1" x14ac:dyDescent="0.3">
      <c r="A365" s="6" t="s">
        <v>246</v>
      </c>
      <c r="B365" s="5" t="s">
        <v>247</v>
      </c>
      <c r="C365" s="5" t="s">
        <v>52</v>
      </c>
      <c r="D365" s="6" t="s">
        <v>53</v>
      </c>
      <c r="E365" s="5">
        <v>6</v>
      </c>
      <c r="F365" s="5">
        <v>8.3000000000000004E-2</v>
      </c>
      <c r="G365" s="5">
        <v>9</v>
      </c>
      <c r="H365" s="5">
        <v>0.111</v>
      </c>
    </row>
    <row r="366" spans="1:8" ht="15.75" customHeight="1" x14ac:dyDescent="0.3">
      <c r="A366" s="8" t="s">
        <v>246</v>
      </c>
      <c r="B366" s="20" t="s">
        <v>247</v>
      </c>
      <c r="C366" s="9" t="s">
        <v>336</v>
      </c>
      <c r="D366" s="8" t="s">
        <v>337</v>
      </c>
      <c r="E366" s="9">
        <v>5</v>
      </c>
      <c r="F366" s="9">
        <v>0.111</v>
      </c>
      <c r="G366" s="9">
        <v>9</v>
      </c>
      <c r="H366" s="9">
        <v>0.29399999999999998</v>
      </c>
    </row>
    <row r="367" spans="1:8" ht="15.75" customHeight="1" x14ac:dyDescent="0.3">
      <c r="A367" s="6" t="s">
        <v>246</v>
      </c>
      <c r="B367" s="5" t="s">
        <v>247</v>
      </c>
      <c r="C367" s="5" t="s">
        <v>301</v>
      </c>
      <c r="D367" s="6" t="s">
        <v>302</v>
      </c>
      <c r="E367" s="5">
        <v>5</v>
      </c>
      <c r="F367" s="5">
        <v>0.16700000000000001</v>
      </c>
      <c r="G367" s="5">
        <v>9</v>
      </c>
      <c r="H367" s="5">
        <v>0.41699999999999998</v>
      </c>
    </row>
    <row r="368" spans="1:8" ht="15.75" customHeight="1" x14ac:dyDescent="0.3">
      <c r="A368" s="8" t="s">
        <v>246</v>
      </c>
      <c r="B368" s="20" t="s">
        <v>247</v>
      </c>
      <c r="C368" s="9" t="s">
        <v>78</v>
      </c>
      <c r="D368" s="8" t="s">
        <v>79</v>
      </c>
      <c r="E368" s="9">
        <v>4</v>
      </c>
      <c r="F368" s="9">
        <v>0.05</v>
      </c>
      <c r="G368" s="9">
        <v>10</v>
      </c>
      <c r="H368" s="9">
        <v>7.0999999999999994E-2</v>
      </c>
    </row>
    <row r="369" spans="1:8" ht="15.75" customHeight="1" x14ac:dyDescent="0.3">
      <c r="A369" s="6" t="s">
        <v>246</v>
      </c>
      <c r="B369" s="5" t="s">
        <v>247</v>
      </c>
      <c r="C369" s="5" t="s">
        <v>398</v>
      </c>
      <c r="D369" s="6" t="s">
        <v>399</v>
      </c>
      <c r="E369" s="5">
        <v>3</v>
      </c>
      <c r="F369" s="5">
        <v>0.33300000000000002</v>
      </c>
      <c r="G369" s="5">
        <v>11</v>
      </c>
      <c r="H369" s="5">
        <v>0.375</v>
      </c>
    </row>
    <row r="370" spans="1:8" ht="15.75" customHeight="1" x14ac:dyDescent="0.3">
      <c r="A370" s="8" t="s">
        <v>246</v>
      </c>
      <c r="B370" s="20" t="s">
        <v>247</v>
      </c>
      <c r="C370" s="9" t="s">
        <v>396</v>
      </c>
      <c r="D370" s="8" t="s">
        <v>397</v>
      </c>
      <c r="E370" s="9">
        <v>3</v>
      </c>
      <c r="F370" s="9">
        <v>0.25</v>
      </c>
      <c r="G370" s="9">
        <v>11</v>
      </c>
      <c r="H370" s="9">
        <v>0.214</v>
      </c>
    </row>
    <row r="371" spans="1:8" ht="15.75" customHeight="1" x14ac:dyDescent="0.3">
      <c r="A371" s="6" t="s">
        <v>246</v>
      </c>
      <c r="B371" s="5" t="s">
        <v>247</v>
      </c>
      <c r="C371" s="5" t="s">
        <v>126</v>
      </c>
      <c r="D371" s="6" t="s">
        <v>127</v>
      </c>
      <c r="E371" s="5">
        <v>3</v>
      </c>
      <c r="F371" s="5">
        <v>0.111</v>
      </c>
      <c r="G371" s="5">
        <v>11</v>
      </c>
      <c r="H371" s="5">
        <v>0.16700000000000001</v>
      </c>
    </row>
    <row r="372" spans="1:8" ht="15.75" customHeight="1" x14ac:dyDescent="0.3">
      <c r="A372" s="8" t="s">
        <v>246</v>
      </c>
      <c r="B372" s="20" t="s">
        <v>247</v>
      </c>
      <c r="C372" s="9" t="s">
        <v>303</v>
      </c>
      <c r="D372" s="8" t="s">
        <v>304</v>
      </c>
      <c r="E372" s="9">
        <v>3</v>
      </c>
      <c r="F372" s="9">
        <v>0.33300000000000002</v>
      </c>
      <c r="G372" s="9">
        <v>11</v>
      </c>
      <c r="H372" s="9">
        <v>0.42899999999999999</v>
      </c>
    </row>
    <row r="373" spans="1:8" ht="15.75" customHeight="1" x14ac:dyDescent="0.3">
      <c r="A373" s="6" t="s">
        <v>246</v>
      </c>
      <c r="B373" s="5" t="s">
        <v>247</v>
      </c>
      <c r="C373" s="5" t="s">
        <v>222</v>
      </c>
      <c r="D373" s="6" t="s">
        <v>223</v>
      </c>
      <c r="E373" s="5">
        <v>2</v>
      </c>
      <c r="F373" s="5">
        <v>0.16700000000000001</v>
      </c>
      <c r="G373" s="5">
        <v>12</v>
      </c>
      <c r="H373" s="5">
        <v>0.25</v>
      </c>
    </row>
    <row r="374" spans="1:8" ht="15.75" customHeight="1" x14ac:dyDescent="0.3">
      <c r="A374" s="8" t="s">
        <v>246</v>
      </c>
      <c r="B374" s="20" t="s">
        <v>247</v>
      </c>
      <c r="C374" s="9" t="s">
        <v>18</v>
      </c>
      <c r="D374" s="8" t="s">
        <v>19</v>
      </c>
      <c r="E374" s="9">
        <v>2</v>
      </c>
      <c r="F374" s="9">
        <v>0.111</v>
      </c>
      <c r="G374" s="9">
        <v>12</v>
      </c>
      <c r="H374" s="9">
        <v>0.11799999999999999</v>
      </c>
    </row>
    <row r="375" spans="1:8" ht="15.75" customHeight="1" x14ac:dyDescent="0.3">
      <c r="A375" s="6" t="s">
        <v>246</v>
      </c>
      <c r="B375" s="5" t="s">
        <v>247</v>
      </c>
      <c r="C375" s="5" t="s">
        <v>68</v>
      </c>
      <c r="D375" s="6" t="s">
        <v>69</v>
      </c>
      <c r="E375" s="5">
        <v>2</v>
      </c>
      <c r="F375" s="5">
        <v>0.14299999999999999</v>
      </c>
      <c r="G375" s="5">
        <v>12</v>
      </c>
      <c r="H375" s="5">
        <v>0.111</v>
      </c>
    </row>
    <row r="376" spans="1:8" ht="15.75" customHeight="1" x14ac:dyDescent="0.3">
      <c r="A376" s="8" t="s">
        <v>246</v>
      </c>
      <c r="B376" s="20" t="s">
        <v>247</v>
      </c>
      <c r="C376" s="9" t="s">
        <v>416</v>
      </c>
      <c r="D376" s="8" t="s">
        <v>417</v>
      </c>
      <c r="E376" s="9">
        <v>2</v>
      </c>
      <c r="F376" s="9">
        <v>0.33300000000000002</v>
      </c>
      <c r="G376" s="9">
        <v>12</v>
      </c>
      <c r="H376" s="9">
        <v>0.5</v>
      </c>
    </row>
    <row r="377" spans="1:8" ht="15.75" customHeight="1" x14ac:dyDescent="0.3">
      <c r="A377" s="6" t="s">
        <v>246</v>
      </c>
      <c r="B377" s="5" t="s">
        <v>247</v>
      </c>
      <c r="C377" s="5" t="s">
        <v>112</v>
      </c>
      <c r="D377" s="6" t="s">
        <v>113</v>
      </c>
      <c r="E377" s="5">
        <v>1</v>
      </c>
      <c r="F377" s="5">
        <v>0.1</v>
      </c>
      <c r="G377" s="5">
        <v>13</v>
      </c>
      <c r="H377" s="5">
        <v>0.05</v>
      </c>
    </row>
    <row r="378" spans="1:8" ht="15.75" customHeight="1" x14ac:dyDescent="0.3">
      <c r="A378" s="8" t="s">
        <v>246</v>
      </c>
      <c r="B378" s="20" t="s">
        <v>247</v>
      </c>
      <c r="C378" s="9" t="s">
        <v>323</v>
      </c>
      <c r="D378" s="8" t="s">
        <v>324</v>
      </c>
      <c r="E378" s="9">
        <v>1</v>
      </c>
      <c r="F378" s="9">
        <v>0.16700000000000001</v>
      </c>
      <c r="G378" s="9">
        <v>13</v>
      </c>
      <c r="H378" s="9">
        <v>5.8999999999999997E-2</v>
      </c>
    </row>
    <row r="379" spans="1:8" ht="15.75" customHeight="1" x14ac:dyDescent="0.3">
      <c r="A379" s="6" t="s">
        <v>246</v>
      </c>
      <c r="B379" s="5" t="s">
        <v>247</v>
      </c>
      <c r="C379" s="5" t="s">
        <v>184</v>
      </c>
      <c r="D379" s="6" t="s">
        <v>185</v>
      </c>
      <c r="E379" s="5">
        <v>1</v>
      </c>
      <c r="F379" s="5">
        <v>0.33300000000000002</v>
      </c>
      <c r="G379" s="5">
        <v>13</v>
      </c>
      <c r="H379" s="5">
        <v>7.6999999999999999E-2</v>
      </c>
    </row>
    <row r="380" spans="1:8" ht="15.75" customHeight="1" x14ac:dyDescent="0.3">
      <c r="A380" s="8" t="s">
        <v>246</v>
      </c>
      <c r="B380" s="20" t="s">
        <v>247</v>
      </c>
      <c r="C380" s="9" t="s">
        <v>400</v>
      </c>
      <c r="D380" s="8" t="s">
        <v>401</v>
      </c>
      <c r="E380" s="9">
        <v>3</v>
      </c>
      <c r="F380" s="9">
        <v>0.25</v>
      </c>
      <c r="G380" s="9">
        <v>13</v>
      </c>
      <c r="H380" s="9">
        <v>0.16700000000000001</v>
      </c>
    </row>
    <row r="381" spans="1:8" ht="15.75" customHeight="1" x14ac:dyDescent="0.3">
      <c r="A381" s="6" t="s">
        <v>246</v>
      </c>
      <c r="B381" s="5" t="s">
        <v>247</v>
      </c>
      <c r="C381" s="5" t="s">
        <v>252</v>
      </c>
      <c r="D381" s="6" t="s">
        <v>253</v>
      </c>
      <c r="E381" s="5">
        <v>1</v>
      </c>
      <c r="F381" s="5">
        <v>0.25</v>
      </c>
      <c r="G381" s="5">
        <v>13</v>
      </c>
      <c r="H381" s="5">
        <v>0.16700000000000001</v>
      </c>
    </row>
    <row r="382" spans="1:8" ht="15.75" customHeight="1" x14ac:dyDescent="0.3">
      <c r="A382" s="8" t="s">
        <v>246</v>
      </c>
      <c r="B382" s="20" t="s">
        <v>247</v>
      </c>
      <c r="C382" s="9" t="s">
        <v>198</v>
      </c>
      <c r="D382" s="8" t="s">
        <v>199</v>
      </c>
      <c r="E382" s="9">
        <v>1</v>
      </c>
      <c r="F382" s="9">
        <v>0.33300000000000002</v>
      </c>
      <c r="G382" s="9">
        <v>13</v>
      </c>
      <c r="H382" s="9">
        <v>0.25</v>
      </c>
    </row>
    <row r="383" spans="1:8" ht="15.75" customHeight="1" x14ac:dyDescent="0.3">
      <c r="A383" s="6" t="s">
        <v>246</v>
      </c>
      <c r="B383" s="5" t="s">
        <v>247</v>
      </c>
      <c r="C383" s="5" t="s">
        <v>418</v>
      </c>
      <c r="D383" s="6" t="s">
        <v>419</v>
      </c>
      <c r="E383" s="5">
        <v>1</v>
      </c>
      <c r="F383" s="5">
        <v>0.33300000000000002</v>
      </c>
      <c r="G383" s="5">
        <v>13</v>
      </c>
      <c r="H383" s="5">
        <v>0.25</v>
      </c>
    </row>
    <row r="384" spans="1:8" ht="15.75" customHeight="1" x14ac:dyDescent="0.3">
      <c r="A384" s="8" t="s">
        <v>246</v>
      </c>
      <c r="B384" s="20" t="s">
        <v>247</v>
      </c>
      <c r="C384" s="9" t="s">
        <v>174</v>
      </c>
      <c r="D384" s="8" t="s">
        <v>175</v>
      </c>
      <c r="E384" s="9">
        <v>1</v>
      </c>
      <c r="F384" s="9">
        <v>0.25</v>
      </c>
      <c r="G384" s="9">
        <v>13</v>
      </c>
      <c r="H384" s="9">
        <v>5.2999999999999999E-2</v>
      </c>
    </row>
    <row r="385" spans="1:8" ht="15.75" customHeight="1" x14ac:dyDescent="0.3">
      <c r="A385" s="6" t="s">
        <v>246</v>
      </c>
      <c r="B385" s="5" t="s">
        <v>247</v>
      </c>
      <c r="C385" s="5" t="s">
        <v>240</v>
      </c>
      <c r="D385" s="6" t="s">
        <v>241</v>
      </c>
      <c r="E385" s="5">
        <v>1</v>
      </c>
      <c r="F385" s="5">
        <v>9.0999999999999998E-2</v>
      </c>
      <c r="G385" s="5">
        <v>13</v>
      </c>
      <c r="H385" s="5">
        <v>0.04</v>
      </c>
    </row>
    <row r="386" spans="1:8" ht="15.75" customHeight="1" x14ac:dyDescent="0.3">
      <c r="A386" s="8" t="s">
        <v>246</v>
      </c>
      <c r="B386" s="20" t="s">
        <v>247</v>
      </c>
      <c r="C386" s="9" t="s">
        <v>192</v>
      </c>
      <c r="D386" s="8" t="s">
        <v>193</v>
      </c>
      <c r="E386" s="9">
        <v>1</v>
      </c>
      <c r="F386" s="9">
        <v>0.2</v>
      </c>
      <c r="G386" s="9">
        <v>13</v>
      </c>
      <c r="H386" s="9">
        <v>9.0999999999999998E-2</v>
      </c>
    </row>
    <row r="387" spans="1:8" ht="15.75" customHeight="1" x14ac:dyDescent="0.3">
      <c r="A387" s="6" t="s">
        <v>256</v>
      </c>
      <c r="B387" s="5" t="s">
        <v>257</v>
      </c>
      <c r="C387" s="5" t="s">
        <v>262</v>
      </c>
      <c r="D387" s="6" t="s">
        <v>263</v>
      </c>
      <c r="E387" s="5">
        <v>27</v>
      </c>
      <c r="F387" s="5">
        <v>0.2</v>
      </c>
      <c r="G387" s="5">
        <v>1</v>
      </c>
      <c r="H387" s="5">
        <v>0.61799999999999999</v>
      </c>
    </row>
    <row r="388" spans="1:8" ht="15.75" customHeight="1" x14ac:dyDescent="0.3">
      <c r="A388" s="8" t="s">
        <v>256</v>
      </c>
      <c r="B388" s="20" t="s">
        <v>257</v>
      </c>
      <c r="C388" s="9" t="s">
        <v>265</v>
      </c>
      <c r="D388" s="8" t="s">
        <v>266</v>
      </c>
      <c r="E388" s="9">
        <v>9</v>
      </c>
      <c r="F388" s="9">
        <v>0.25</v>
      </c>
      <c r="G388" s="9">
        <v>2</v>
      </c>
      <c r="H388" s="9">
        <v>0.64300000000000002</v>
      </c>
    </row>
    <row r="389" spans="1:8" ht="15.75" customHeight="1" x14ac:dyDescent="0.3">
      <c r="A389" s="6" t="s">
        <v>256</v>
      </c>
      <c r="B389" s="5" t="s">
        <v>257</v>
      </c>
      <c r="C389" s="5" t="s">
        <v>110</v>
      </c>
      <c r="D389" s="6" t="s">
        <v>111</v>
      </c>
      <c r="E389" s="5">
        <v>6</v>
      </c>
      <c r="F389" s="5">
        <v>0.33300000000000002</v>
      </c>
      <c r="G389" s="5">
        <v>5</v>
      </c>
      <c r="H389" s="5">
        <v>0.54500000000000004</v>
      </c>
    </row>
    <row r="390" spans="1:8" ht="15.75" customHeight="1" x14ac:dyDescent="0.3">
      <c r="A390" s="8" t="s">
        <v>256</v>
      </c>
      <c r="B390" s="20" t="s">
        <v>257</v>
      </c>
      <c r="C390" s="9" t="s">
        <v>271</v>
      </c>
      <c r="D390" s="8" t="s">
        <v>272</v>
      </c>
      <c r="E390" s="9">
        <v>8</v>
      </c>
      <c r="F390" s="9">
        <v>0.33300000000000002</v>
      </c>
      <c r="G390" s="9">
        <v>5</v>
      </c>
      <c r="H390" s="9">
        <v>0.375</v>
      </c>
    </row>
    <row r="391" spans="1:8" ht="15.75" customHeight="1" x14ac:dyDescent="0.3">
      <c r="A391" s="6" t="s">
        <v>256</v>
      </c>
      <c r="B391" s="5" t="s">
        <v>257</v>
      </c>
      <c r="C391" s="5" t="s">
        <v>350</v>
      </c>
      <c r="D391" s="6" t="s">
        <v>351</v>
      </c>
      <c r="E391" s="5">
        <v>3</v>
      </c>
      <c r="F391" s="5">
        <v>0.25</v>
      </c>
      <c r="G391" s="5">
        <v>7</v>
      </c>
      <c r="H391" s="5">
        <v>0.375</v>
      </c>
    </row>
    <row r="392" spans="1:8" ht="15.75" customHeight="1" x14ac:dyDescent="0.3">
      <c r="A392" s="8" t="s">
        <v>256</v>
      </c>
      <c r="B392" s="20" t="s">
        <v>257</v>
      </c>
      <c r="C392" s="9" t="s">
        <v>260</v>
      </c>
      <c r="D392" s="8" t="s">
        <v>261</v>
      </c>
      <c r="E392" s="9">
        <v>3</v>
      </c>
      <c r="F392" s="9">
        <v>0.25</v>
      </c>
      <c r="G392" s="9">
        <v>7</v>
      </c>
      <c r="H392" s="9">
        <v>0.27300000000000002</v>
      </c>
    </row>
    <row r="393" spans="1:8" ht="15.75" customHeight="1" x14ac:dyDescent="0.3">
      <c r="A393" s="6" t="s">
        <v>256</v>
      </c>
      <c r="B393" s="5" t="s">
        <v>257</v>
      </c>
      <c r="C393" s="5" t="s">
        <v>258</v>
      </c>
      <c r="D393" s="6" t="s">
        <v>259</v>
      </c>
      <c r="E393" s="5">
        <v>2</v>
      </c>
      <c r="F393" s="5">
        <v>0.1</v>
      </c>
      <c r="G393" s="5">
        <v>8</v>
      </c>
      <c r="H393" s="5">
        <v>0.105</v>
      </c>
    </row>
    <row r="394" spans="1:8" ht="15.75" customHeight="1" x14ac:dyDescent="0.3">
      <c r="A394" s="8" t="s">
        <v>256</v>
      </c>
      <c r="B394" s="20" t="s">
        <v>257</v>
      </c>
      <c r="C394" s="9" t="s">
        <v>15</v>
      </c>
      <c r="D394" s="8" t="s">
        <v>16</v>
      </c>
      <c r="E394" s="9">
        <v>2</v>
      </c>
      <c r="F394" s="9">
        <v>0.125</v>
      </c>
      <c r="G394" s="9">
        <v>8</v>
      </c>
      <c r="H394" s="9">
        <v>2.9000000000000001E-2</v>
      </c>
    </row>
    <row r="395" spans="1:8" ht="15.75" customHeight="1" x14ac:dyDescent="0.3">
      <c r="A395" s="6" t="s">
        <v>256</v>
      </c>
      <c r="B395" s="5" t="s">
        <v>257</v>
      </c>
      <c r="C395" s="5" t="s">
        <v>269</v>
      </c>
      <c r="D395" s="6" t="s">
        <v>270</v>
      </c>
      <c r="E395" s="5">
        <v>2</v>
      </c>
      <c r="F395" s="5">
        <v>0.16700000000000001</v>
      </c>
      <c r="G395" s="5">
        <v>8</v>
      </c>
      <c r="H395" s="5">
        <v>0.222</v>
      </c>
    </row>
    <row r="396" spans="1:8" ht="15.75" customHeight="1" x14ac:dyDescent="0.3">
      <c r="A396" s="8" t="s">
        <v>256</v>
      </c>
      <c r="B396" s="20" t="s">
        <v>257</v>
      </c>
      <c r="C396" s="9" t="s">
        <v>120</v>
      </c>
      <c r="D396" s="8" t="s">
        <v>121</v>
      </c>
      <c r="E396" s="9">
        <v>2</v>
      </c>
      <c r="F396" s="9">
        <v>0.16700000000000001</v>
      </c>
      <c r="G396" s="9">
        <v>8</v>
      </c>
      <c r="H396" s="9">
        <v>0.1</v>
      </c>
    </row>
    <row r="397" spans="1:8" ht="15.75" customHeight="1" x14ac:dyDescent="0.3">
      <c r="A397" s="6" t="s">
        <v>256</v>
      </c>
      <c r="B397" s="5" t="s">
        <v>257</v>
      </c>
      <c r="C397" s="5" t="s">
        <v>116</v>
      </c>
      <c r="D397" s="6" t="s">
        <v>117</v>
      </c>
      <c r="E397" s="5">
        <v>1</v>
      </c>
      <c r="F397" s="5">
        <v>0.14299999999999999</v>
      </c>
      <c r="G397" s="5">
        <v>9</v>
      </c>
      <c r="H397" s="5">
        <v>4.8000000000000001E-2</v>
      </c>
    </row>
    <row r="398" spans="1:8" ht="15.75" customHeight="1" x14ac:dyDescent="0.3">
      <c r="A398" s="8" t="s">
        <v>256</v>
      </c>
      <c r="B398" s="20" t="s">
        <v>257</v>
      </c>
      <c r="C398" s="9" t="s">
        <v>102</v>
      </c>
      <c r="D398" s="8" t="s">
        <v>103</v>
      </c>
      <c r="E398" s="9">
        <v>1</v>
      </c>
      <c r="F398" s="9">
        <v>0.33300000000000002</v>
      </c>
      <c r="G398" s="9">
        <v>9</v>
      </c>
      <c r="H398" s="9">
        <v>0.125</v>
      </c>
    </row>
    <row r="399" spans="1:8" ht="15.75" customHeight="1" x14ac:dyDescent="0.3">
      <c r="A399" s="6" t="s">
        <v>256</v>
      </c>
      <c r="B399" s="5" t="s">
        <v>257</v>
      </c>
      <c r="C399" s="5" t="s">
        <v>267</v>
      </c>
      <c r="D399" s="6" t="s">
        <v>268</v>
      </c>
      <c r="E399" s="5">
        <v>1</v>
      </c>
      <c r="F399" s="5">
        <v>0.14299999999999999</v>
      </c>
      <c r="G399" s="5">
        <v>9</v>
      </c>
      <c r="H399" s="5">
        <v>5.8999999999999997E-2</v>
      </c>
    </row>
    <row r="400" spans="1:8" ht="15.75" customHeight="1" x14ac:dyDescent="0.3">
      <c r="A400" s="8" t="s">
        <v>256</v>
      </c>
      <c r="B400" s="20" t="s">
        <v>257</v>
      </c>
      <c r="C400" s="9" t="s">
        <v>112</v>
      </c>
      <c r="D400" s="8" t="s">
        <v>113</v>
      </c>
      <c r="E400" s="9">
        <v>1</v>
      </c>
      <c r="F400" s="9">
        <v>0.1</v>
      </c>
      <c r="G400" s="9">
        <v>9</v>
      </c>
      <c r="H400" s="9">
        <v>0.05</v>
      </c>
    </row>
    <row r="401" spans="1:8" ht="15.75" customHeight="1" x14ac:dyDescent="0.3">
      <c r="A401" s="6" t="s">
        <v>256</v>
      </c>
      <c r="B401" s="5" t="s">
        <v>257</v>
      </c>
      <c r="C401" s="5" t="s">
        <v>289</v>
      </c>
      <c r="D401" s="6" t="s">
        <v>290</v>
      </c>
      <c r="E401" s="5">
        <v>1</v>
      </c>
      <c r="F401" s="5">
        <v>0.33300000000000002</v>
      </c>
      <c r="G401" s="5">
        <v>9</v>
      </c>
      <c r="H401" s="5">
        <v>0.2</v>
      </c>
    </row>
    <row r="402" spans="1:8" ht="15.75" customHeight="1" x14ac:dyDescent="0.3">
      <c r="A402" s="8" t="s">
        <v>256</v>
      </c>
      <c r="B402" s="20" t="s">
        <v>257</v>
      </c>
      <c r="C402" s="9" t="s">
        <v>82</v>
      </c>
      <c r="D402" s="8" t="s">
        <v>83</v>
      </c>
      <c r="E402" s="9">
        <v>1</v>
      </c>
      <c r="F402" s="9">
        <v>0.2</v>
      </c>
      <c r="G402" s="9">
        <v>9</v>
      </c>
      <c r="H402" s="9">
        <v>9.0999999999999998E-2</v>
      </c>
    </row>
    <row r="403" spans="1:8" ht="15.75" customHeight="1" x14ac:dyDescent="0.3">
      <c r="A403" s="6" t="s">
        <v>256</v>
      </c>
      <c r="B403" s="5" t="s">
        <v>257</v>
      </c>
      <c r="C403" s="5" t="s">
        <v>56</v>
      </c>
      <c r="D403" s="6" t="s">
        <v>57</v>
      </c>
      <c r="E403" s="5">
        <v>1</v>
      </c>
      <c r="F403" s="5">
        <v>0.2</v>
      </c>
      <c r="G403" s="5">
        <v>9</v>
      </c>
      <c r="H403" s="5">
        <v>4.2999999999999997E-2</v>
      </c>
    </row>
    <row r="404" spans="1:8" ht="15.75" customHeight="1" x14ac:dyDescent="0.3">
      <c r="A404" s="6" t="s">
        <v>273</v>
      </c>
      <c r="B404" s="5" t="s">
        <v>274</v>
      </c>
      <c r="C404" s="5" t="s">
        <v>285</v>
      </c>
      <c r="D404" s="6" t="s">
        <v>286</v>
      </c>
      <c r="E404" s="5">
        <v>24</v>
      </c>
      <c r="F404" s="5">
        <v>0.25</v>
      </c>
      <c r="G404" s="5">
        <v>1</v>
      </c>
      <c r="H404" s="5">
        <v>0.85699999999999998</v>
      </c>
    </row>
    <row r="405" spans="1:8" ht="15.75" customHeight="1" x14ac:dyDescent="0.3">
      <c r="A405" s="8" t="s">
        <v>273</v>
      </c>
      <c r="B405" s="20" t="s">
        <v>274</v>
      </c>
      <c r="C405" s="9" t="s">
        <v>283</v>
      </c>
      <c r="D405" s="8" t="s">
        <v>284</v>
      </c>
      <c r="E405" s="9">
        <v>6</v>
      </c>
      <c r="F405" s="9">
        <v>0.33300000000000002</v>
      </c>
      <c r="G405" s="9">
        <v>5</v>
      </c>
      <c r="H405" s="9">
        <v>0.66700000000000004</v>
      </c>
    </row>
    <row r="406" spans="1:8" ht="15.75" customHeight="1" x14ac:dyDescent="0.3">
      <c r="A406" s="6" t="s">
        <v>273</v>
      </c>
      <c r="B406" s="5" t="s">
        <v>274</v>
      </c>
      <c r="C406" s="5" t="s">
        <v>279</v>
      </c>
      <c r="D406" s="6" t="s">
        <v>280</v>
      </c>
      <c r="E406" s="5">
        <v>5</v>
      </c>
      <c r="F406" s="5">
        <v>0.33300000000000002</v>
      </c>
      <c r="G406" s="5">
        <v>6</v>
      </c>
      <c r="H406" s="5">
        <v>0.71399999999999997</v>
      </c>
    </row>
    <row r="407" spans="1:8" ht="15.75" customHeight="1" x14ac:dyDescent="0.3">
      <c r="A407" s="8" t="s">
        <v>273</v>
      </c>
      <c r="B407" s="20" t="s">
        <v>274</v>
      </c>
      <c r="C407" s="9" t="s">
        <v>106</v>
      </c>
      <c r="D407" s="8" t="s">
        <v>107</v>
      </c>
      <c r="E407" s="9">
        <v>4</v>
      </c>
      <c r="F407" s="9">
        <v>0.2</v>
      </c>
      <c r="G407" s="9">
        <v>7</v>
      </c>
      <c r="H407" s="9">
        <v>0.308</v>
      </c>
    </row>
    <row r="408" spans="1:8" ht="15.75" customHeight="1" x14ac:dyDescent="0.3">
      <c r="A408" s="6" t="s">
        <v>273</v>
      </c>
      <c r="B408" s="5" t="s">
        <v>274</v>
      </c>
      <c r="C408" s="5" t="s">
        <v>56</v>
      </c>
      <c r="D408" s="6" t="s">
        <v>57</v>
      </c>
      <c r="E408" s="5">
        <v>4</v>
      </c>
      <c r="F408" s="5">
        <v>0.2</v>
      </c>
      <c r="G408" s="5">
        <v>7</v>
      </c>
      <c r="H408" s="5">
        <v>0.17399999999999999</v>
      </c>
    </row>
    <row r="409" spans="1:8" ht="15.75" customHeight="1" x14ac:dyDescent="0.3">
      <c r="A409" s="8" t="s">
        <v>273</v>
      </c>
      <c r="B409" s="20" t="s">
        <v>274</v>
      </c>
      <c r="C409" s="9" t="s">
        <v>109</v>
      </c>
      <c r="D409" s="8" t="s">
        <v>108</v>
      </c>
      <c r="E409" s="9">
        <v>3</v>
      </c>
      <c r="F409" s="9">
        <v>0.14299999999999999</v>
      </c>
      <c r="G409" s="9">
        <v>8</v>
      </c>
      <c r="H409" s="9">
        <v>0.33300000000000002</v>
      </c>
    </row>
    <row r="410" spans="1:8" ht="15.75" customHeight="1" x14ac:dyDescent="0.3">
      <c r="A410" s="6" t="s">
        <v>273</v>
      </c>
      <c r="B410" s="5" t="s">
        <v>274</v>
      </c>
      <c r="C410" s="5" t="s">
        <v>46</v>
      </c>
      <c r="D410" s="6" t="s">
        <v>47</v>
      </c>
      <c r="E410" s="5">
        <v>3</v>
      </c>
      <c r="F410" s="5">
        <v>0.14299999999999999</v>
      </c>
      <c r="G410" s="5">
        <v>8</v>
      </c>
      <c r="H410" s="5">
        <v>0.15</v>
      </c>
    </row>
    <row r="411" spans="1:8" ht="15.75" customHeight="1" x14ac:dyDescent="0.3">
      <c r="A411" s="8" t="s">
        <v>273</v>
      </c>
      <c r="B411" s="20" t="s">
        <v>274</v>
      </c>
      <c r="C411" s="9" t="s">
        <v>420</v>
      </c>
      <c r="D411" s="8" t="s">
        <v>421</v>
      </c>
      <c r="E411" s="9">
        <v>5</v>
      </c>
      <c r="F411" s="9">
        <v>0.33300000000000002</v>
      </c>
      <c r="G411" s="9">
        <v>8</v>
      </c>
      <c r="H411" s="9">
        <v>0.5</v>
      </c>
    </row>
    <row r="412" spans="1:8" ht="15.75" customHeight="1" x14ac:dyDescent="0.3">
      <c r="A412" s="6" t="s">
        <v>273</v>
      </c>
      <c r="B412" s="5" t="s">
        <v>274</v>
      </c>
      <c r="C412" s="5" t="s">
        <v>277</v>
      </c>
      <c r="D412" s="6" t="s">
        <v>278</v>
      </c>
      <c r="E412" s="5">
        <v>4</v>
      </c>
      <c r="F412" s="5">
        <v>0.33300000000000002</v>
      </c>
      <c r="G412" s="5">
        <v>8</v>
      </c>
      <c r="H412" s="5">
        <v>0.5</v>
      </c>
    </row>
    <row r="413" spans="1:8" ht="15.75" customHeight="1" x14ac:dyDescent="0.3">
      <c r="A413" s="8" t="s">
        <v>273</v>
      </c>
      <c r="B413" s="20" t="s">
        <v>274</v>
      </c>
      <c r="C413" s="9" t="s">
        <v>41</v>
      </c>
      <c r="D413" s="8" t="s">
        <v>42</v>
      </c>
      <c r="E413" s="9">
        <v>3</v>
      </c>
      <c r="F413" s="9">
        <v>0.16700000000000001</v>
      </c>
      <c r="G413" s="9">
        <v>8</v>
      </c>
      <c r="H413" s="9">
        <v>0.115</v>
      </c>
    </row>
    <row r="414" spans="1:8" ht="15.75" customHeight="1" x14ac:dyDescent="0.3">
      <c r="A414" s="6" t="s">
        <v>273</v>
      </c>
      <c r="B414" s="5" t="s">
        <v>274</v>
      </c>
      <c r="C414" s="5" t="s">
        <v>380</v>
      </c>
      <c r="D414" s="6" t="s">
        <v>381</v>
      </c>
      <c r="E414" s="5">
        <v>2</v>
      </c>
      <c r="F414" s="5">
        <v>0.16700000000000001</v>
      </c>
      <c r="G414" s="5">
        <v>9</v>
      </c>
      <c r="H414" s="5">
        <v>0.222</v>
      </c>
    </row>
    <row r="415" spans="1:8" ht="15.75" customHeight="1" x14ac:dyDescent="0.3">
      <c r="A415" s="8" t="s">
        <v>273</v>
      </c>
      <c r="B415" s="20" t="s">
        <v>274</v>
      </c>
      <c r="C415" s="9" t="s">
        <v>281</v>
      </c>
      <c r="D415" s="8" t="s">
        <v>282</v>
      </c>
      <c r="E415" s="9">
        <v>3</v>
      </c>
      <c r="F415" s="9">
        <v>9.0999999999999998E-2</v>
      </c>
      <c r="G415" s="9">
        <v>9</v>
      </c>
      <c r="H415" s="9">
        <v>0.14299999999999999</v>
      </c>
    </row>
    <row r="416" spans="1:8" ht="15.75" customHeight="1" x14ac:dyDescent="0.3">
      <c r="A416" s="6" t="s">
        <v>273</v>
      </c>
      <c r="B416" s="5" t="s">
        <v>274</v>
      </c>
      <c r="C416" s="5" t="s">
        <v>332</v>
      </c>
      <c r="D416" s="6" t="s">
        <v>333</v>
      </c>
      <c r="E416" s="5">
        <v>2</v>
      </c>
      <c r="F416" s="5">
        <v>0.125</v>
      </c>
      <c r="G416" s="5">
        <v>9</v>
      </c>
      <c r="H416" s="5">
        <v>0.154</v>
      </c>
    </row>
    <row r="417" spans="1:8" ht="15.75" customHeight="1" x14ac:dyDescent="0.3">
      <c r="A417" s="8" t="s">
        <v>273</v>
      </c>
      <c r="B417" s="20" t="s">
        <v>274</v>
      </c>
      <c r="C417" s="9" t="s">
        <v>50</v>
      </c>
      <c r="D417" s="8" t="s">
        <v>51</v>
      </c>
      <c r="E417" s="9">
        <v>2</v>
      </c>
      <c r="F417" s="9">
        <v>0.125</v>
      </c>
      <c r="G417" s="9">
        <v>9</v>
      </c>
      <c r="H417" s="9">
        <v>0.125</v>
      </c>
    </row>
    <row r="418" spans="1:8" ht="15.75" customHeight="1" x14ac:dyDescent="0.3">
      <c r="A418" s="6" t="s">
        <v>273</v>
      </c>
      <c r="B418" s="5" t="s">
        <v>274</v>
      </c>
      <c r="C418" s="5" t="s">
        <v>311</v>
      </c>
      <c r="D418" s="6" t="s">
        <v>312</v>
      </c>
      <c r="E418" s="5">
        <v>1</v>
      </c>
      <c r="F418" s="5">
        <v>0.25</v>
      </c>
      <c r="G418" s="5">
        <v>10</v>
      </c>
      <c r="H418" s="5">
        <v>0.14299999999999999</v>
      </c>
    </row>
    <row r="419" spans="1:8" ht="15.75" customHeight="1" x14ac:dyDescent="0.3">
      <c r="A419" s="8" t="s">
        <v>273</v>
      </c>
      <c r="B419" s="20" t="s">
        <v>274</v>
      </c>
      <c r="C419" s="9" t="s">
        <v>148</v>
      </c>
      <c r="D419" s="8" t="s">
        <v>149</v>
      </c>
      <c r="E419" s="9">
        <v>1</v>
      </c>
      <c r="F419" s="9">
        <v>9.0999999999999998E-2</v>
      </c>
      <c r="G419" s="9">
        <v>10</v>
      </c>
      <c r="H419" s="9">
        <v>5.6000000000000001E-2</v>
      </c>
    </row>
    <row r="420" spans="1:8" ht="15.75" customHeight="1" x14ac:dyDescent="0.3">
      <c r="A420" s="6" t="s">
        <v>273</v>
      </c>
      <c r="B420" s="5" t="s">
        <v>274</v>
      </c>
      <c r="C420" s="5" t="s">
        <v>54</v>
      </c>
      <c r="D420" s="6" t="s">
        <v>55</v>
      </c>
      <c r="E420" s="5">
        <v>1</v>
      </c>
      <c r="F420" s="5">
        <v>0.25</v>
      </c>
      <c r="G420" s="5">
        <v>10</v>
      </c>
      <c r="H420" s="5">
        <v>4.4999999999999998E-2</v>
      </c>
    </row>
    <row r="421" spans="1:8" ht="15.75" customHeight="1" x14ac:dyDescent="0.3">
      <c r="A421" s="8" t="s">
        <v>273</v>
      </c>
      <c r="B421" s="20" t="s">
        <v>274</v>
      </c>
      <c r="C421" s="9" t="s">
        <v>275</v>
      </c>
      <c r="D421" s="8" t="s">
        <v>276</v>
      </c>
      <c r="E421" s="9">
        <v>1</v>
      </c>
      <c r="F421" s="9">
        <v>0.33300000000000002</v>
      </c>
      <c r="G421" s="9">
        <v>10</v>
      </c>
      <c r="H421" s="9">
        <v>0.25</v>
      </c>
    </row>
    <row r="422" spans="1:8" ht="15.75" customHeight="1" x14ac:dyDescent="0.3">
      <c r="A422" s="6" t="s">
        <v>273</v>
      </c>
      <c r="B422" s="5" t="s">
        <v>274</v>
      </c>
      <c r="C422" s="5" t="s">
        <v>374</v>
      </c>
      <c r="D422" s="6" t="s">
        <v>375</v>
      </c>
      <c r="E422" s="5">
        <v>1</v>
      </c>
      <c r="F422" s="5">
        <v>0.1</v>
      </c>
      <c r="G422" s="5">
        <v>10</v>
      </c>
      <c r="H422" s="5">
        <v>7.0999999999999994E-2</v>
      </c>
    </row>
    <row r="423" spans="1:8" ht="15.75" customHeight="1" x14ac:dyDescent="0.3">
      <c r="A423" s="8" t="s">
        <v>273</v>
      </c>
      <c r="B423" s="20" t="s">
        <v>274</v>
      </c>
      <c r="C423" s="9" t="s">
        <v>416</v>
      </c>
      <c r="D423" s="8" t="s">
        <v>417</v>
      </c>
      <c r="E423" s="9">
        <v>1</v>
      </c>
      <c r="F423" s="9">
        <v>0.33300000000000002</v>
      </c>
      <c r="G423" s="9">
        <v>10</v>
      </c>
      <c r="H423" s="9">
        <v>0.25</v>
      </c>
    </row>
    <row r="424" spans="1:8" ht="15.75" customHeight="1" x14ac:dyDescent="0.3">
      <c r="A424" s="6" t="s">
        <v>287</v>
      </c>
      <c r="B424" s="5" t="s">
        <v>288</v>
      </c>
      <c r="C424" s="5" t="s">
        <v>122</v>
      </c>
      <c r="D424" s="6" t="s">
        <v>123</v>
      </c>
      <c r="E424" s="5">
        <v>11</v>
      </c>
      <c r="F424" s="5">
        <v>0.33300000000000002</v>
      </c>
      <c r="G424" s="5">
        <v>1</v>
      </c>
      <c r="H424" s="5">
        <v>0.84599999999999997</v>
      </c>
    </row>
    <row r="425" spans="1:8" ht="15.75" customHeight="1" x14ac:dyDescent="0.3">
      <c r="A425" s="8" t="s">
        <v>287</v>
      </c>
      <c r="B425" s="20" t="s">
        <v>288</v>
      </c>
      <c r="C425" s="9" t="s">
        <v>130</v>
      </c>
      <c r="D425" s="8" t="s">
        <v>131</v>
      </c>
      <c r="E425" s="9">
        <v>18</v>
      </c>
      <c r="F425" s="9">
        <v>0.2</v>
      </c>
      <c r="G425" s="9">
        <v>2</v>
      </c>
      <c r="H425" s="9">
        <v>0.52900000000000003</v>
      </c>
    </row>
    <row r="426" spans="1:8" ht="15.75" customHeight="1" x14ac:dyDescent="0.3">
      <c r="A426" s="6" t="s">
        <v>287</v>
      </c>
      <c r="B426" s="5" t="s">
        <v>288</v>
      </c>
      <c r="C426" s="5" t="s">
        <v>293</v>
      </c>
      <c r="D426" s="6" t="s">
        <v>294</v>
      </c>
      <c r="E426" s="5">
        <v>7</v>
      </c>
      <c r="F426" s="5">
        <v>0.33300000000000002</v>
      </c>
      <c r="G426" s="5">
        <v>4</v>
      </c>
      <c r="H426" s="5">
        <v>0.77800000000000002</v>
      </c>
    </row>
    <row r="427" spans="1:8" ht="15.75" customHeight="1" x14ac:dyDescent="0.3">
      <c r="A427" s="8" t="s">
        <v>287</v>
      </c>
      <c r="B427" s="20" t="s">
        <v>288</v>
      </c>
      <c r="C427" s="9" t="s">
        <v>309</v>
      </c>
      <c r="D427" s="8" t="s">
        <v>310</v>
      </c>
      <c r="E427" s="9">
        <v>7</v>
      </c>
      <c r="F427" s="9">
        <v>0.33300000000000002</v>
      </c>
      <c r="G427" s="9">
        <v>4</v>
      </c>
      <c r="H427" s="9">
        <v>0.7</v>
      </c>
    </row>
    <row r="428" spans="1:8" ht="15.75" customHeight="1" x14ac:dyDescent="0.3">
      <c r="A428" s="6" t="s">
        <v>287</v>
      </c>
      <c r="B428" s="5" t="s">
        <v>288</v>
      </c>
      <c r="C428" s="5" t="s">
        <v>291</v>
      </c>
      <c r="D428" s="6" t="s">
        <v>292</v>
      </c>
      <c r="E428" s="5">
        <v>11</v>
      </c>
      <c r="F428" s="5">
        <v>0.2</v>
      </c>
      <c r="G428" s="5">
        <v>5</v>
      </c>
      <c r="H428" s="5">
        <v>0.5</v>
      </c>
    </row>
    <row r="429" spans="1:8" ht="15.75" customHeight="1" x14ac:dyDescent="0.3">
      <c r="A429" s="8" t="s">
        <v>287</v>
      </c>
      <c r="B429" s="20" t="s">
        <v>288</v>
      </c>
      <c r="C429" s="9" t="s">
        <v>120</v>
      </c>
      <c r="D429" s="8" t="s">
        <v>121</v>
      </c>
      <c r="E429" s="9">
        <v>5</v>
      </c>
      <c r="F429" s="9">
        <v>0.16700000000000001</v>
      </c>
      <c r="G429" s="9">
        <v>6</v>
      </c>
      <c r="H429" s="9">
        <v>0.25</v>
      </c>
    </row>
    <row r="430" spans="1:8" ht="15.75" customHeight="1" x14ac:dyDescent="0.3">
      <c r="A430" s="6" t="s">
        <v>287</v>
      </c>
      <c r="B430" s="5" t="s">
        <v>288</v>
      </c>
      <c r="C430" s="5" t="s">
        <v>260</v>
      </c>
      <c r="D430" s="6" t="s">
        <v>261</v>
      </c>
      <c r="E430" s="5">
        <v>5</v>
      </c>
      <c r="F430" s="5">
        <v>0.25</v>
      </c>
      <c r="G430" s="5">
        <v>6</v>
      </c>
      <c r="H430" s="5">
        <v>0.45500000000000002</v>
      </c>
    </row>
    <row r="431" spans="1:8" ht="15.75" customHeight="1" x14ac:dyDescent="0.3">
      <c r="A431" s="8" t="s">
        <v>287</v>
      </c>
      <c r="B431" s="20" t="s">
        <v>288</v>
      </c>
      <c r="C431" s="9" t="s">
        <v>240</v>
      </c>
      <c r="D431" s="8" t="s">
        <v>241</v>
      </c>
      <c r="E431" s="9">
        <v>3</v>
      </c>
      <c r="F431" s="9">
        <v>9.0999999999999998E-2</v>
      </c>
      <c r="G431" s="9">
        <v>7</v>
      </c>
      <c r="H431" s="9">
        <v>0.12</v>
      </c>
    </row>
    <row r="432" spans="1:8" ht="15.75" customHeight="1" x14ac:dyDescent="0.3">
      <c r="A432" s="6" t="s">
        <v>287</v>
      </c>
      <c r="B432" s="5" t="s">
        <v>288</v>
      </c>
      <c r="C432" s="5" t="s">
        <v>258</v>
      </c>
      <c r="D432" s="6" t="s">
        <v>259</v>
      </c>
      <c r="E432" s="5">
        <v>3</v>
      </c>
      <c r="F432" s="5">
        <v>0.1</v>
      </c>
      <c r="G432" s="5">
        <v>7</v>
      </c>
      <c r="H432" s="5">
        <v>0.158</v>
      </c>
    </row>
    <row r="433" spans="1:8" ht="15.75" customHeight="1" x14ac:dyDescent="0.3">
      <c r="A433" s="8" t="s">
        <v>287</v>
      </c>
      <c r="B433" s="20" t="s">
        <v>288</v>
      </c>
      <c r="C433" s="9" t="s">
        <v>289</v>
      </c>
      <c r="D433" s="8" t="s">
        <v>290</v>
      </c>
      <c r="E433" s="9">
        <v>3</v>
      </c>
      <c r="F433" s="9">
        <v>0.33300000000000002</v>
      </c>
      <c r="G433" s="9">
        <v>7</v>
      </c>
      <c r="H433" s="9">
        <v>0.6</v>
      </c>
    </row>
    <row r="434" spans="1:8" ht="15.75" customHeight="1" x14ac:dyDescent="0.3">
      <c r="A434" s="6" t="s">
        <v>287</v>
      </c>
      <c r="B434" s="5" t="s">
        <v>288</v>
      </c>
      <c r="C434" s="5" t="s">
        <v>422</v>
      </c>
      <c r="D434" s="6" t="s">
        <v>423</v>
      </c>
      <c r="E434" s="5">
        <v>2</v>
      </c>
      <c r="F434" s="5">
        <v>0.33300000000000002</v>
      </c>
      <c r="G434" s="5">
        <v>8</v>
      </c>
      <c r="H434" s="5">
        <v>0.4</v>
      </c>
    </row>
    <row r="435" spans="1:8" ht="15.75" customHeight="1" x14ac:dyDescent="0.3">
      <c r="A435" s="8" t="s">
        <v>287</v>
      </c>
      <c r="B435" s="20" t="s">
        <v>288</v>
      </c>
      <c r="C435" s="9" t="s">
        <v>132</v>
      </c>
      <c r="D435" s="8" t="s">
        <v>133</v>
      </c>
      <c r="E435" s="9">
        <v>2</v>
      </c>
      <c r="F435" s="9">
        <v>0.25</v>
      </c>
      <c r="G435" s="9">
        <v>8</v>
      </c>
      <c r="H435" s="9">
        <v>0.105</v>
      </c>
    </row>
    <row r="436" spans="1:8" ht="15.75" customHeight="1" x14ac:dyDescent="0.3">
      <c r="A436" s="6" t="s">
        <v>287</v>
      </c>
      <c r="B436" s="5" t="s">
        <v>288</v>
      </c>
      <c r="C436" s="5" t="s">
        <v>262</v>
      </c>
      <c r="D436" s="6" t="s">
        <v>263</v>
      </c>
      <c r="E436" s="5">
        <v>4</v>
      </c>
      <c r="F436" s="5">
        <v>0.2</v>
      </c>
      <c r="G436" s="5">
        <v>8</v>
      </c>
      <c r="H436" s="5">
        <v>5.8999999999999997E-2</v>
      </c>
    </row>
    <row r="437" spans="1:8" ht="15.75" customHeight="1" x14ac:dyDescent="0.3">
      <c r="A437" s="8" t="s">
        <v>287</v>
      </c>
      <c r="B437" s="20" t="s">
        <v>288</v>
      </c>
      <c r="C437" s="9" t="s">
        <v>295</v>
      </c>
      <c r="D437" s="8" t="s">
        <v>296</v>
      </c>
      <c r="E437" s="9">
        <v>2</v>
      </c>
      <c r="F437" s="9">
        <v>0.33300000000000002</v>
      </c>
      <c r="G437" s="9">
        <v>8</v>
      </c>
      <c r="H437" s="9">
        <v>0.5</v>
      </c>
    </row>
    <row r="438" spans="1:8" ht="15.75" customHeight="1" x14ac:dyDescent="0.3">
      <c r="A438" s="6" t="s">
        <v>287</v>
      </c>
      <c r="B438" s="5" t="s">
        <v>288</v>
      </c>
      <c r="C438" s="5" t="s">
        <v>384</v>
      </c>
      <c r="D438" s="6" t="s">
        <v>385</v>
      </c>
      <c r="E438" s="5">
        <v>2</v>
      </c>
      <c r="F438" s="5">
        <v>0.2</v>
      </c>
      <c r="G438" s="5">
        <v>8</v>
      </c>
      <c r="H438" s="5">
        <v>0.16700000000000001</v>
      </c>
    </row>
    <row r="439" spans="1:8" ht="15.75" customHeight="1" x14ac:dyDescent="0.3">
      <c r="A439" s="8" t="s">
        <v>287</v>
      </c>
      <c r="B439" s="20" t="s">
        <v>288</v>
      </c>
      <c r="C439" s="9" t="s">
        <v>424</v>
      </c>
      <c r="D439" s="8" t="s">
        <v>425</v>
      </c>
      <c r="E439" s="9">
        <v>1</v>
      </c>
      <c r="F439" s="9">
        <v>0.25</v>
      </c>
      <c r="G439" s="9">
        <v>9</v>
      </c>
      <c r="H439" s="9">
        <v>0.2</v>
      </c>
    </row>
    <row r="440" spans="1:8" ht="15.75" customHeight="1" x14ac:dyDescent="0.3">
      <c r="A440" s="6" t="s">
        <v>287</v>
      </c>
      <c r="B440" s="5" t="s">
        <v>288</v>
      </c>
      <c r="C440" s="5" t="s">
        <v>265</v>
      </c>
      <c r="D440" s="6" t="s">
        <v>266</v>
      </c>
      <c r="E440" s="5">
        <v>1</v>
      </c>
      <c r="F440" s="5">
        <v>0.25</v>
      </c>
      <c r="G440" s="5">
        <v>9</v>
      </c>
      <c r="H440" s="5">
        <v>7.0999999999999994E-2</v>
      </c>
    </row>
    <row r="441" spans="1:8" ht="15.75" customHeight="1" x14ac:dyDescent="0.3">
      <c r="A441" s="8" t="s">
        <v>287</v>
      </c>
      <c r="B441" s="20" t="s">
        <v>288</v>
      </c>
      <c r="C441" s="9" t="s">
        <v>267</v>
      </c>
      <c r="D441" s="8" t="s">
        <v>268</v>
      </c>
      <c r="E441" s="9">
        <v>1</v>
      </c>
      <c r="F441" s="9">
        <v>0.14299999999999999</v>
      </c>
      <c r="G441" s="9">
        <v>9</v>
      </c>
      <c r="H441" s="9">
        <v>5.8999999999999997E-2</v>
      </c>
    </row>
    <row r="442" spans="1:8" ht="15.75" customHeight="1" x14ac:dyDescent="0.3">
      <c r="A442" s="6" t="s">
        <v>287</v>
      </c>
      <c r="B442" s="5" t="s">
        <v>288</v>
      </c>
      <c r="C442" s="5" t="s">
        <v>426</v>
      </c>
      <c r="D442" s="6" t="s">
        <v>427</v>
      </c>
      <c r="E442" s="5">
        <v>1</v>
      </c>
      <c r="F442" s="5">
        <v>0.33300000000000002</v>
      </c>
      <c r="G442" s="5">
        <v>9</v>
      </c>
      <c r="H442" s="5">
        <v>0.25</v>
      </c>
    </row>
    <row r="443" spans="1:8" ht="15.75" customHeight="1" x14ac:dyDescent="0.3">
      <c r="A443" s="6" t="s">
        <v>297</v>
      </c>
      <c r="B443" s="5" t="s">
        <v>298</v>
      </c>
      <c r="C443" s="5" t="s">
        <v>158</v>
      </c>
      <c r="D443" s="6" t="s">
        <v>159</v>
      </c>
      <c r="E443" s="5">
        <v>15</v>
      </c>
      <c r="F443" s="5">
        <v>0.2</v>
      </c>
      <c r="G443" s="5">
        <v>1</v>
      </c>
      <c r="H443" s="5">
        <v>0.40500000000000003</v>
      </c>
    </row>
    <row r="444" spans="1:8" ht="15.75" customHeight="1" x14ac:dyDescent="0.3">
      <c r="A444" s="8" t="s">
        <v>297</v>
      </c>
      <c r="B444" s="20" t="s">
        <v>298</v>
      </c>
      <c r="C444" s="9" t="s">
        <v>170</v>
      </c>
      <c r="D444" s="8" t="s">
        <v>171</v>
      </c>
      <c r="E444" s="9">
        <v>13</v>
      </c>
      <c r="F444" s="9">
        <v>0.33300000000000002</v>
      </c>
      <c r="G444" s="9">
        <v>2</v>
      </c>
      <c r="H444" s="9">
        <v>0.86699999999999999</v>
      </c>
    </row>
    <row r="445" spans="1:8" ht="15.75" customHeight="1" x14ac:dyDescent="0.3">
      <c r="A445" s="6" t="s">
        <v>297</v>
      </c>
      <c r="B445" s="5" t="s">
        <v>298</v>
      </c>
      <c r="C445" s="5" t="s">
        <v>254</v>
      </c>
      <c r="D445" s="6" t="s">
        <v>255</v>
      </c>
      <c r="E445" s="5">
        <v>13</v>
      </c>
      <c r="F445" s="5">
        <v>0.33300000000000002</v>
      </c>
      <c r="G445" s="5">
        <v>2</v>
      </c>
      <c r="H445" s="5">
        <v>0.41899999999999998</v>
      </c>
    </row>
    <row r="446" spans="1:8" ht="15.75" customHeight="1" x14ac:dyDescent="0.3">
      <c r="A446" s="8" t="s">
        <v>297</v>
      </c>
      <c r="B446" s="20" t="s">
        <v>298</v>
      </c>
      <c r="C446" s="9" t="s">
        <v>299</v>
      </c>
      <c r="D446" s="8" t="s">
        <v>300</v>
      </c>
      <c r="E446" s="9">
        <v>9</v>
      </c>
      <c r="F446" s="9">
        <v>0.25</v>
      </c>
      <c r="G446" s="9">
        <v>4</v>
      </c>
      <c r="H446" s="9">
        <v>0.75</v>
      </c>
    </row>
    <row r="447" spans="1:8" ht="15.75" customHeight="1" x14ac:dyDescent="0.3">
      <c r="A447" s="6" t="s">
        <v>297</v>
      </c>
      <c r="B447" s="5" t="s">
        <v>298</v>
      </c>
      <c r="C447" s="5" t="s">
        <v>43</v>
      </c>
      <c r="D447" s="6" t="s">
        <v>44</v>
      </c>
      <c r="E447" s="5">
        <v>8</v>
      </c>
      <c r="F447" s="5">
        <v>0.33300000000000002</v>
      </c>
      <c r="G447" s="5">
        <v>5</v>
      </c>
      <c r="H447" s="5">
        <v>0.26700000000000002</v>
      </c>
    </row>
    <row r="448" spans="1:8" ht="15.75" customHeight="1" x14ac:dyDescent="0.3">
      <c r="A448" s="8" t="s">
        <v>297</v>
      </c>
      <c r="B448" s="20" t="s">
        <v>298</v>
      </c>
      <c r="C448" s="9" t="s">
        <v>78</v>
      </c>
      <c r="D448" s="8" t="s">
        <v>79</v>
      </c>
      <c r="E448" s="9">
        <v>6</v>
      </c>
      <c r="F448" s="9">
        <v>0.05</v>
      </c>
      <c r="G448" s="9">
        <v>7</v>
      </c>
      <c r="H448" s="9">
        <v>0.107</v>
      </c>
    </row>
    <row r="449" spans="1:8" ht="15.75" customHeight="1" x14ac:dyDescent="0.3">
      <c r="A449" s="6" t="s">
        <v>297</v>
      </c>
      <c r="B449" s="5" t="s">
        <v>298</v>
      </c>
      <c r="C449" s="5" t="s">
        <v>248</v>
      </c>
      <c r="D449" s="6" t="s">
        <v>249</v>
      </c>
      <c r="E449" s="5">
        <v>5</v>
      </c>
      <c r="F449" s="5">
        <v>0.33300000000000002</v>
      </c>
      <c r="G449" s="5">
        <v>8</v>
      </c>
      <c r="H449" s="5">
        <v>0.35699999999999998</v>
      </c>
    </row>
    <row r="450" spans="1:8" ht="15.75" customHeight="1" x14ac:dyDescent="0.3">
      <c r="A450" s="8" t="s">
        <v>297</v>
      </c>
      <c r="B450" s="20" t="s">
        <v>298</v>
      </c>
      <c r="C450" s="9" t="s">
        <v>428</v>
      </c>
      <c r="D450" s="8" t="s">
        <v>429</v>
      </c>
      <c r="E450" s="9">
        <v>4</v>
      </c>
      <c r="F450" s="9">
        <v>0.33300000000000002</v>
      </c>
      <c r="G450" s="9">
        <v>9</v>
      </c>
      <c r="H450" s="9">
        <v>0.57099999999999995</v>
      </c>
    </row>
    <row r="451" spans="1:8" ht="15.75" customHeight="1" x14ac:dyDescent="0.3">
      <c r="A451" s="6" t="s">
        <v>297</v>
      </c>
      <c r="B451" s="5" t="s">
        <v>298</v>
      </c>
      <c r="C451" s="5" t="s">
        <v>90</v>
      </c>
      <c r="D451" s="6" t="s">
        <v>91</v>
      </c>
      <c r="E451" s="5">
        <v>4</v>
      </c>
      <c r="F451" s="5">
        <v>9.0999999999999998E-2</v>
      </c>
      <c r="G451" s="5">
        <v>9</v>
      </c>
      <c r="H451" s="5">
        <v>7.6999999999999999E-2</v>
      </c>
    </row>
    <row r="452" spans="1:8" ht="15.75" customHeight="1" x14ac:dyDescent="0.3">
      <c r="A452" s="8" t="s">
        <v>297</v>
      </c>
      <c r="B452" s="20" t="s">
        <v>298</v>
      </c>
      <c r="C452" s="9" t="s">
        <v>232</v>
      </c>
      <c r="D452" s="8" t="s">
        <v>233</v>
      </c>
      <c r="E452" s="9">
        <v>4</v>
      </c>
      <c r="F452" s="9">
        <v>0.25</v>
      </c>
      <c r="G452" s="9">
        <v>9</v>
      </c>
      <c r="H452" s="9">
        <v>0.4</v>
      </c>
    </row>
    <row r="453" spans="1:8" ht="15.75" customHeight="1" x14ac:dyDescent="0.3">
      <c r="A453" s="6" t="s">
        <v>297</v>
      </c>
      <c r="B453" s="5" t="s">
        <v>298</v>
      </c>
      <c r="C453" s="5" t="s">
        <v>212</v>
      </c>
      <c r="D453" s="6" t="s">
        <v>213</v>
      </c>
      <c r="E453" s="5">
        <v>4</v>
      </c>
      <c r="F453" s="5">
        <v>0.16700000000000001</v>
      </c>
      <c r="G453" s="5">
        <v>9</v>
      </c>
      <c r="H453" s="5">
        <v>0.19</v>
      </c>
    </row>
    <row r="454" spans="1:8" ht="15.75" customHeight="1" x14ac:dyDescent="0.3">
      <c r="A454" s="8" t="s">
        <v>297</v>
      </c>
      <c r="B454" s="20" t="s">
        <v>298</v>
      </c>
      <c r="C454" s="9" t="s">
        <v>396</v>
      </c>
      <c r="D454" s="8" t="s">
        <v>397</v>
      </c>
      <c r="E454" s="9">
        <v>3</v>
      </c>
      <c r="F454" s="9">
        <v>0.25</v>
      </c>
      <c r="G454" s="9">
        <v>10</v>
      </c>
      <c r="H454" s="9">
        <v>0.214</v>
      </c>
    </row>
    <row r="455" spans="1:8" ht="15.75" customHeight="1" x14ac:dyDescent="0.3">
      <c r="A455" s="6" t="s">
        <v>297</v>
      </c>
      <c r="B455" s="5" t="s">
        <v>298</v>
      </c>
      <c r="C455" s="5" t="s">
        <v>68</v>
      </c>
      <c r="D455" s="6" t="s">
        <v>69</v>
      </c>
      <c r="E455" s="5">
        <v>3</v>
      </c>
      <c r="F455" s="5">
        <v>0.14299999999999999</v>
      </c>
      <c r="G455" s="5">
        <v>10</v>
      </c>
      <c r="H455" s="5">
        <v>0.16700000000000001</v>
      </c>
    </row>
    <row r="456" spans="1:8" ht="15.75" customHeight="1" x14ac:dyDescent="0.3">
      <c r="A456" s="8" t="s">
        <v>297</v>
      </c>
      <c r="B456" s="20" t="s">
        <v>298</v>
      </c>
      <c r="C456" s="9" t="s">
        <v>301</v>
      </c>
      <c r="D456" s="8" t="s">
        <v>302</v>
      </c>
      <c r="E456" s="9">
        <v>3</v>
      </c>
      <c r="F456" s="9">
        <v>0.16700000000000001</v>
      </c>
      <c r="G456" s="9">
        <v>10</v>
      </c>
      <c r="H456" s="9">
        <v>0.25</v>
      </c>
    </row>
    <row r="457" spans="1:8" ht="15.75" customHeight="1" x14ac:dyDescent="0.3">
      <c r="A457" s="6" t="s">
        <v>297</v>
      </c>
      <c r="B457" s="5" t="s">
        <v>298</v>
      </c>
      <c r="C457" s="5" t="s">
        <v>303</v>
      </c>
      <c r="D457" s="6" t="s">
        <v>304</v>
      </c>
      <c r="E457" s="5">
        <v>3</v>
      </c>
      <c r="F457" s="5">
        <v>0.33300000000000002</v>
      </c>
      <c r="G457" s="5">
        <v>10</v>
      </c>
      <c r="H457" s="5">
        <v>0.42899999999999999</v>
      </c>
    </row>
    <row r="458" spans="1:8" ht="15.75" customHeight="1" x14ac:dyDescent="0.3">
      <c r="A458" s="8" t="s">
        <v>297</v>
      </c>
      <c r="B458" s="20" t="s">
        <v>298</v>
      </c>
      <c r="C458" s="9" t="s">
        <v>398</v>
      </c>
      <c r="D458" s="8" t="s">
        <v>399</v>
      </c>
      <c r="E458" s="9">
        <v>2</v>
      </c>
      <c r="F458" s="9">
        <v>0.33300000000000002</v>
      </c>
      <c r="G458" s="9">
        <v>11</v>
      </c>
      <c r="H458" s="9">
        <v>0.25</v>
      </c>
    </row>
    <row r="459" spans="1:8" ht="15.75" customHeight="1" x14ac:dyDescent="0.3">
      <c r="A459" s="6" t="s">
        <v>297</v>
      </c>
      <c r="B459" s="5" t="s">
        <v>298</v>
      </c>
      <c r="C459" s="5" t="s">
        <v>252</v>
      </c>
      <c r="D459" s="6" t="s">
        <v>253</v>
      </c>
      <c r="E459" s="5">
        <v>2</v>
      </c>
      <c r="F459" s="5">
        <v>0.25</v>
      </c>
      <c r="G459" s="5">
        <v>11</v>
      </c>
      <c r="H459" s="5">
        <v>0.33300000000000002</v>
      </c>
    </row>
    <row r="460" spans="1:8" ht="15.75" customHeight="1" x14ac:dyDescent="0.3">
      <c r="A460" s="8" t="s">
        <v>297</v>
      </c>
      <c r="B460" s="20" t="s">
        <v>298</v>
      </c>
      <c r="C460" s="9" t="s">
        <v>180</v>
      </c>
      <c r="D460" s="8" t="s">
        <v>181</v>
      </c>
      <c r="E460" s="9">
        <v>2</v>
      </c>
      <c r="F460" s="9">
        <v>0.16700000000000001</v>
      </c>
      <c r="G460" s="9">
        <v>11</v>
      </c>
      <c r="H460" s="9">
        <v>0.154</v>
      </c>
    </row>
    <row r="461" spans="1:8" ht="15.75" customHeight="1" x14ac:dyDescent="0.3">
      <c r="A461" s="6" t="s">
        <v>297</v>
      </c>
      <c r="B461" s="5" t="s">
        <v>298</v>
      </c>
      <c r="C461" s="5" t="s">
        <v>336</v>
      </c>
      <c r="D461" s="6" t="s">
        <v>337</v>
      </c>
      <c r="E461" s="5">
        <v>2</v>
      </c>
      <c r="F461" s="5">
        <v>0.111</v>
      </c>
      <c r="G461" s="5">
        <v>11</v>
      </c>
      <c r="H461" s="5">
        <v>0.11799999999999999</v>
      </c>
    </row>
    <row r="462" spans="1:8" ht="15.75" customHeight="1" x14ac:dyDescent="0.3">
      <c r="A462" s="8" t="s">
        <v>297</v>
      </c>
      <c r="B462" s="20" t="s">
        <v>298</v>
      </c>
      <c r="C462" s="9" t="s">
        <v>418</v>
      </c>
      <c r="D462" s="8" t="s">
        <v>419</v>
      </c>
      <c r="E462" s="9">
        <v>2</v>
      </c>
      <c r="F462" s="9">
        <v>0.33300000000000002</v>
      </c>
      <c r="G462" s="9">
        <v>11</v>
      </c>
      <c r="H462" s="9">
        <v>0.5</v>
      </c>
    </row>
    <row r="463" spans="1:8" ht="15.75" customHeight="1" x14ac:dyDescent="0.3">
      <c r="A463" s="6" t="s">
        <v>297</v>
      </c>
      <c r="B463" s="5" t="s">
        <v>298</v>
      </c>
      <c r="C463" s="5" t="s">
        <v>412</v>
      </c>
      <c r="D463" s="6" t="s">
        <v>413</v>
      </c>
      <c r="E463" s="5">
        <v>2</v>
      </c>
      <c r="F463" s="5">
        <v>0.33300000000000002</v>
      </c>
      <c r="G463" s="5">
        <v>11</v>
      </c>
      <c r="H463" s="5">
        <v>0.5</v>
      </c>
    </row>
    <row r="464" spans="1:8" ht="15.75" customHeight="1" x14ac:dyDescent="0.3">
      <c r="A464" s="8" t="s">
        <v>297</v>
      </c>
      <c r="B464" s="20" t="s">
        <v>298</v>
      </c>
      <c r="C464" s="9" t="s">
        <v>250</v>
      </c>
      <c r="D464" s="8" t="s">
        <v>251</v>
      </c>
      <c r="E464" s="9">
        <v>2</v>
      </c>
      <c r="F464" s="9">
        <v>0.25</v>
      </c>
      <c r="G464" s="9">
        <v>11</v>
      </c>
      <c r="H464" s="9">
        <v>0.11799999999999999</v>
      </c>
    </row>
    <row r="465" spans="1:8" ht="15.75" customHeight="1" x14ac:dyDescent="0.3">
      <c r="A465" s="6" t="s">
        <v>297</v>
      </c>
      <c r="B465" s="5" t="s">
        <v>298</v>
      </c>
      <c r="C465" s="5" t="s">
        <v>76</v>
      </c>
      <c r="D465" s="6" t="s">
        <v>77</v>
      </c>
      <c r="E465" s="5">
        <v>1</v>
      </c>
      <c r="F465" s="5">
        <v>0.25</v>
      </c>
      <c r="G465" s="5">
        <v>12</v>
      </c>
      <c r="H465" s="5">
        <v>9.0999999999999998E-2</v>
      </c>
    </row>
    <row r="466" spans="1:8" ht="15.75" customHeight="1" x14ac:dyDescent="0.3">
      <c r="A466" s="8" t="s">
        <v>297</v>
      </c>
      <c r="B466" s="20" t="s">
        <v>298</v>
      </c>
      <c r="C466" s="9" t="s">
        <v>323</v>
      </c>
      <c r="D466" s="8" t="s">
        <v>324</v>
      </c>
      <c r="E466" s="9">
        <v>1</v>
      </c>
      <c r="F466" s="9">
        <v>0.16700000000000001</v>
      </c>
      <c r="G466" s="9">
        <v>12</v>
      </c>
      <c r="H466" s="9">
        <v>5.8999999999999997E-2</v>
      </c>
    </row>
    <row r="467" spans="1:8" ht="15.75" customHeight="1" x14ac:dyDescent="0.3">
      <c r="A467" s="6" t="s">
        <v>297</v>
      </c>
      <c r="B467" s="5" t="s">
        <v>298</v>
      </c>
      <c r="C467" s="5" t="s">
        <v>404</v>
      </c>
      <c r="D467" s="6" t="s">
        <v>405</v>
      </c>
      <c r="E467" s="5">
        <v>1</v>
      </c>
      <c r="F467" s="5">
        <v>0.25</v>
      </c>
      <c r="G467" s="5">
        <v>12</v>
      </c>
      <c r="H467" s="5">
        <v>0.1</v>
      </c>
    </row>
    <row r="468" spans="1:8" ht="15.75" customHeight="1" x14ac:dyDescent="0.3">
      <c r="A468" s="8" t="s">
        <v>297</v>
      </c>
      <c r="B468" s="20" t="s">
        <v>298</v>
      </c>
      <c r="C468" s="9" t="s">
        <v>410</v>
      </c>
      <c r="D468" s="8" t="s">
        <v>411</v>
      </c>
      <c r="E468" s="9">
        <v>2</v>
      </c>
      <c r="F468" s="9">
        <v>0.25</v>
      </c>
      <c r="G468" s="9">
        <v>12</v>
      </c>
      <c r="H468" s="9">
        <v>0.2</v>
      </c>
    </row>
    <row r="469" spans="1:8" ht="15.75" customHeight="1" x14ac:dyDescent="0.3">
      <c r="A469" s="6" t="s">
        <v>297</v>
      </c>
      <c r="B469" s="5" t="s">
        <v>298</v>
      </c>
      <c r="C469" s="5" t="s">
        <v>130</v>
      </c>
      <c r="D469" s="6" t="s">
        <v>131</v>
      </c>
      <c r="E469" s="5">
        <v>2</v>
      </c>
      <c r="F469" s="5">
        <v>0.2</v>
      </c>
      <c r="G469" s="5">
        <v>12</v>
      </c>
      <c r="H469" s="5">
        <v>5.8999999999999997E-2</v>
      </c>
    </row>
    <row r="470" spans="1:8" ht="15.75" customHeight="1" x14ac:dyDescent="0.3">
      <c r="A470" s="8" t="s">
        <v>297</v>
      </c>
      <c r="B470" s="20" t="s">
        <v>298</v>
      </c>
      <c r="C470" s="9" t="s">
        <v>390</v>
      </c>
      <c r="D470" s="8" t="s">
        <v>391</v>
      </c>
      <c r="E470" s="9">
        <v>1</v>
      </c>
      <c r="F470" s="9">
        <v>0.16700000000000001</v>
      </c>
      <c r="G470" s="9">
        <v>12</v>
      </c>
      <c r="H470" s="9">
        <v>0.14299999999999999</v>
      </c>
    </row>
    <row r="471" spans="1:8" ht="15.75" customHeight="1" x14ac:dyDescent="0.3">
      <c r="A471" s="6" t="s">
        <v>297</v>
      </c>
      <c r="B471" s="5" t="s">
        <v>298</v>
      </c>
      <c r="C471" s="5" t="s">
        <v>206</v>
      </c>
      <c r="D471" s="6" t="s">
        <v>207</v>
      </c>
      <c r="E471" s="5">
        <v>1</v>
      </c>
      <c r="F471" s="5">
        <v>0.2</v>
      </c>
      <c r="G471" s="5">
        <v>12</v>
      </c>
      <c r="H471" s="5">
        <v>0.14299999999999999</v>
      </c>
    </row>
    <row r="472" spans="1:8" ht="15.75" customHeight="1" x14ac:dyDescent="0.3">
      <c r="A472" s="8" t="s">
        <v>297</v>
      </c>
      <c r="B472" s="20" t="s">
        <v>298</v>
      </c>
      <c r="C472" s="9" t="s">
        <v>416</v>
      </c>
      <c r="D472" s="8" t="s">
        <v>417</v>
      </c>
      <c r="E472" s="9">
        <v>1</v>
      </c>
      <c r="F472" s="9">
        <v>0.33300000000000002</v>
      </c>
      <c r="G472" s="9">
        <v>12</v>
      </c>
      <c r="H472" s="9">
        <v>0.25</v>
      </c>
    </row>
    <row r="473" spans="1:8" ht="15.75" customHeight="1" x14ac:dyDescent="0.3">
      <c r="A473" s="6" t="s">
        <v>305</v>
      </c>
      <c r="B473" s="5" t="s">
        <v>306</v>
      </c>
      <c r="C473" s="5" t="s">
        <v>120</v>
      </c>
      <c r="D473" s="6" t="s">
        <v>121</v>
      </c>
      <c r="E473" s="5">
        <v>4</v>
      </c>
      <c r="F473" s="5">
        <v>0.16700000000000001</v>
      </c>
      <c r="G473" s="5">
        <v>7</v>
      </c>
      <c r="H473" s="5">
        <v>0.2</v>
      </c>
    </row>
    <row r="474" spans="1:8" ht="15.75" customHeight="1" x14ac:dyDescent="0.3">
      <c r="A474" s="8" t="s">
        <v>305</v>
      </c>
      <c r="B474" s="20" t="s">
        <v>306</v>
      </c>
      <c r="C474" s="9" t="s">
        <v>116</v>
      </c>
      <c r="D474" s="8" t="s">
        <v>117</v>
      </c>
      <c r="E474" s="9">
        <v>7</v>
      </c>
      <c r="F474" s="9">
        <v>0.14299999999999999</v>
      </c>
      <c r="G474" s="9">
        <v>7</v>
      </c>
      <c r="H474" s="9">
        <v>0.19</v>
      </c>
    </row>
    <row r="475" spans="1:8" ht="15.75" customHeight="1" x14ac:dyDescent="0.3">
      <c r="A475" s="6" t="s">
        <v>305</v>
      </c>
      <c r="B475" s="5" t="s">
        <v>306</v>
      </c>
      <c r="C475" s="5" t="s">
        <v>78</v>
      </c>
      <c r="D475" s="6" t="s">
        <v>79</v>
      </c>
      <c r="E475" s="5">
        <v>4</v>
      </c>
      <c r="F475" s="5">
        <v>0.05</v>
      </c>
      <c r="G475" s="5">
        <v>7</v>
      </c>
      <c r="H475" s="5">
        <v>7.0999999999999994E-2</v>
      </c>
    </row>
    <row r="476" spans="1:8" ht="15.75" customHeight="1" x14ac:dyDescent="0.3">
      <c r="A476" s="8" t="s">
        <v>305</v>
      </c>
      <c r="B476" s="20" t="s">
        <v>306</v>
      </c>
      <c r="C476" s="9" t="s">
        <v>128</v>
      </c>
      <c r="D476" s="8" t="s">
        <v>129</v>
      </c>
      <c r="E476" s="9">
        <v>3</v>
      </c>
      <c r="F476" s="9">
        <v>0.33300000000000002</v>
      </c>
      <c r="G476" s="9">
        <v>8</v>
      </c>
      <c r="H476" s="9">
        <v>0.42899999999999999</v>
      </c>
    </row>
    <row r="477" spans="1:8" ht="15.75" customHeight="1" x14ac:dyDescent="0.3">
      <c r="A477" s="6" t="s">
        <v>305</v>
      </c>
      <c r="B477" s="5" t="s">
        <v>306</v>
      </c>
      <c r="C477" s="5" t="s">
        <v>240</v>
      </c>
      <c r="D477" s="6" t="s">
        <v>241</v>
      </c>
      <c r="E477" s="5">
        <v>3</v>
      </c>
      <c r="F477" s="5">
        <v>9.0999999999999998E-2</v>
      </c>
      <c r="G477" s="5">
        <v>8</v>
      </c>
      <c r="H477" s="5">
        <v>0.12</v>
      </c>
    </row>
    <row r="478" spans="1:8" ht="15.75" customHeight="1" x14ac:dyDescent="0.3">
      <c r="A478" s="8" t="s">
        <v>305</v>
      </c>
      <c r="B478" s="20" t="s">
        <v>306</v>
      </c>
      <c r="C478" s="9" t="s">
        <v>260</v>
      </c>
      <c r="D478" s="8" t="s">
        <v>261</v>
      </c>
      <c r="E478" s="9">
        <v>2</v>
      </c>
      <c r="F478" s="9">
        <v>0.25</v>
      </c>
      <c r="G478" s="9">
        <v>9</v>
      </c>
      <c r="H478" s="9">
        <v>0.182</v>
      </c>
    </row>
    <row r="479" spans="1:8" ht="15.75" customHeight="1" x14ac:dyDescent="0.3">
      <c r="A479" s="6" t="s">
        <v>305</v>
      </c>
      <c r="B479" s="5" t="s">
        <v>306</v>
      </c>
      <c r="C479" s="5" t="s">
        <v>309</v>
      </c>
      <c r="D479" s="6" t="s">
        <v>310</v>
      </c>
      <c r="E479" s="5">
        <v>2</v>
      </c>
      <c r="F479" s="5">
        <v>0.33300000000000002</v>
      </c>
      <c r="G479" s="5">
        <v>9</v>
      </c>
      <c r="H479" s="5">
        <v>0.2</v>
      </c>
    </row>
    <row r="480" spans="1:8" ht="15.75" customHeight="1" x14ac:dyDescent="0.3">
      <c r="A480" s="8" t="s">
        <v>305</v>
      </c>
      <c r="B480" s="20" t="s">
        <v>306</v>
      </c>
      <c r="C480" s="9" t="s">
        <v>234</v>
      </c>
      <c r="D480" s="8" t="s">
        <v>235</v>
      </c>
      <c r="E480" s="9">
        <v>2</v>
      </c>
      <c r="F480" s="9">
        <v>0.2</v>
      </c>
      <c r="G480" s="9">
        <v>9</v>
      </c>
      <c r="H480" s="9">
        <v>0.125</v>
      </c>
    </row>
    <row r="481" spans="1:8" ht="15.75" customHeight="1" x14ac:dyDescent="0.3">
      <c r="A481" s="6" t="s">
        <v>305</v>
      </c>
      <c r="B481" s="5" t="s">
        <v>306</v>
      </c>
      <c r="C481" s="5" t="s">
        <v>307</v>
      </c>
      <c r="D481" s="6" t="s">
        <v>308</v>
      </c>
      <c r="E481" s="5">
        <v>2</v>
      </c>
      <c r="F481" s="5">
        <v>0.25</v>
      </c>
      <c r="G481" s="5">
        <v>9</v>
      </c>
      <c r="H481" s="5">
        <v>0.28599999999999998</v>
      </c>
    </row>
    <row r="482" spans="1:8" ht="15.75" customHeight="1" x14ac:dyDescent="0.3">
      <c r="A482" s="8" t="s">
        <v>305</v>
      </c>
      <c r="B482" s="20" t="s">
        <v>306</v>
      </c>
      <c r="C482" s="9" t="s">
        <v>325</v>
      </c>
      <c r="D482" s="8" t="s">
        <v>326</v>
      </c>
      <c r="E482" s="9">
        <v>2</v>
      </c>
      <c r="F482" s="9">
        <v>0.33300000000000002</v>
      </c>
      <c r="G482" s="9">
        <v>9</v>
      </c>
      <c r="H482" s="9">
        <v>0.33300000000000002</v>
      </c>
    </row>
    <row r="483" spans="1:8" ht="15.75" customHeight="1" x14ac:dyDescent="0.3">
      <c r="A483" s="6" t="s">
        <v>305</v>
      </c>
      <c r="B483" s="5" t="s">
        <v>306</v>
      </c>
      <c r="C483" s="5" t="s">
        <v>258</v>
      </c>
      <c r="D483" s="6" t="s">
        <v>259</v>
      </c>
      <c r="E483" s="5">
        <v>2</v>
      </c>
      <c r="F483" s="5">
        <v>0.1</v>
      </c>
      <c r="G483" s="5">
        <v>9</v>
      </c>
      <c r="H483" s="5">
        <v>0.105</v>
      </c>
    </row>
    <row r="484" spans="1:8" ht="15.75" customHeight="1" x14ac:dyDescent="0.3">
      <c r="A484" s="8" t="s">
        <v>305</v>
      </c>
      <c r="B484" s="20" t="s">
        <v>306</v>
      </c>
      <c r="C484" s="9" t="s">
        <v>374</v>
      </c>
      <c r="D484" s="8" t="s">
        <v>375</v>
      </c>
      <c r="E484" s="9">
        <v>2</v>
      </c>
      <c r="F484" s="9">
        <v>0.1</v>
      </c>
      <c r="G484" s="9">
        <v>9</v>
      </c>
      <c r="H484" s="9">
        <v>0.14299999999999999</v>
      </c>
    </row>
    <row r="485" spans="1:8" ht="15.75" customHeight="1" x14ac:dyDescent="0.3">
      <c r="A485" s="6" t="s">
        <v>305</v>
      </c>
      <c r="B485" s="5" t="s">
        <v>306</v>
      </c>
      <c r="C485" s="5" t="s">
        <v>109</v>
      </c>
      <c r="D485" s="6" t="s">
        <v>108</v>
      </c>
      <c r="E485" s="5">
        <v>1</v>
      </c>
      <c r="F485" s="5">
        <v>0.14299999999999999</v>
      </c>
      <c r="G485" s="5">
        <v>10</v>
      </c>
      <c r="H485" s="5">
        <v>0.111</v>
      </c>
    </row>
    <row r="486" spans="1:8" ht="15.75" customHeight="1" x14ac:dyDescent="0.3">
      <c r="A486" s="8" t="s">
        <v>305</v>
      </c>
      <c r="B486" s="20" t="s">
        <v>306</v>
      </c>
      <c r="C486" s="9" t="s">
        <v>424</v>
      </c>
      <c r="D486" s="8" t="s">
        <v>425</v>
      </c>
      <c r="E486" s="9">
        <v>1</v>
      </c>
      <c r="F486" s="9">
        <v>0.25</v>
      </c>
      <c r="G486" s="9">
        <v>10</v>
      </c>
      <c r="H486" s="9">
        <v>0.2</v>
      </c>
    </row>
    <row r="487" spans="1:8" ht="15.75" customHeight="1" x14ac:dyDescent="0.3">
      <c r="A487" s="6" t="s">
        <v>305</v>
      </c>
      <c r="B487" s="5" t="s">
        <v>306</v>
      </c>
      <c r="C487" s="5" t="s">
        <v>293</v>
      </c>
      <c r="D487" s="6" t="s">
        <v>294</v>
      </c>
      <c r="E487" s="5">
        <v>1</v>
      </c>
      <c r="F487" s="5">
        <v>0.33300000000000002</v>
      </c>
      <c r="G487" s="5">
        <v>10</v>
      </c>
      <c r="H487" s="5">
        <v>0.111</v>
      </c>
    </row>
    <row r="488" spans="1:8" ht="15.75" customHeight="1" x14ac:dyDescent="0.3">
      <c r="A488" s="8" t="s">
        <v>305</v>
      </c>
      <c r="B488" s="20" t="s">
        <v>306</v>
      </c>
      <c r="C488" s="9" t="s">
        <v>430</v>
      </c>
      <c r="D488" s="8" t="s">
        <v>431</v>
      </c>
      <c r="E488" s="9">
        <v>1</v>
      </c>
      <c r="F488" s="9">
        <v>0.2</v>
      </c>
      <c r="G488" s="9">
        <v>10</v>
      </c>
      <c r="H488" s="9">
        <v>0.16700000000000001</v>
      </c>
    </row>
    <row r="489" spans="1:8" ht="15.75" customHeight="1" x14ac:dyDescent="0.3">
      <c r="A489" s="6" t="s">
        <v>305</v>
      </c>
      <c r="B489" s="5" t="s">
        <v>306</v>
      </c>
      <c r="C489" s="5" t="s">
        <v>311</v>
      </c>
      <c r="D489" s="6" t="s">
        <v>312</v>
      </c>
      <c r="E489" s="5">
        <v>1</v>
      </c>
      <c r="F489" s="5">
        <v>0.25</v>
      </c>
      <c r="G489" s="5">
        <v>10</v>
      </c>
      <c r="H489" s="5">
        <v>0.14299999999999999</v>
      </c>
    </row>
    <row r="490" spans="1:8" ht="15.75" customHeight="1" x14ac:dyDescent="0.3">
      <c r="A490" s="8" t="s">
        <v>305</v>
      </c>
      <c r="B490" s="20" t="s">
        <v>306</v>
      </c>
      <c r="C490" s="9" t="s">
        <v>301</v>
      </c>
      <c r="D490" s="8" t="s">
        <v>302</v>
      </c>
      <c r="E490" s="9">
        <v>1</v>
      </c>
      <c r="F490" s="9">
        <v>0.16700000000000001</v>
      </c>
      <c r="G490" s="9">
        <v>10</v>
      </c>
      <c r="H490" s="9">
        <v>8.3000000000000004E-2</v>
      </c>
    </row>
    <row r="491" spans="1:8" ht="15.75" customHeight="1" x14ac:dyDescent="0.3">
      <c r="A491" s="6" t="s">
        <v>305</v>
      </c>
      <c r="B491" s="5" t="s">
        <v>306</v>
      </c>
      <c r="C491" s="5" t="s">
        <v>126</v>
      </c>
      <c r="D491" s="6" t="s">
        <v>127</v>
      </c>
      <c r="E491" s="5">
        <v>1</v>
      </c>
      <c r="F491" s="5">
        <v>0.111</v>
      </c>
      <c r="G491" s="5">
        <v>10</v>
      </c>
      <c r="H491" s="5">
        <v>5.6000000000000001E-2</v>
      </c>
    </row>
    <row r="492" spans="1:8" ht="15.75" customHeight="1" x14ac:dyDescent="0.3">
      <c r="A492" s="8" t="s">
        <v>305</v>
      </c>
      <c r="B492" s="20" t="s">
        <v>306</v>
      </c>
      <c r="C492" s="9" t="s">
        <v>392</v>
      </c>
      <c r="D492" s="8" t="s">
        <v>393</v>
      </c>
      <c r="E492" s="9">
        <v>1</v>
      </c>
      <c r="F492" s="9">
        <v>0.2</v>
      </c>
      <c r="G492" s="9">
        <v>10</v>
      </c>
      <c r="H492" s="9">
        <v>0.125</v>
      </c>
    </row>
    <row r="493" spans="1:8" ht="15.75" customHeight="1" x14ac:dyDescent="0.3">
      <c r="A493" s="6" t="s">
        <v>305</v>
      </c>
      <c r="B493" s="5" t="s">
        <v>306</v>
      </c>
      <c r="C493" s="5" t="s">
        <v>118</v>
      </c>
      <c r="D493" s="6" t="s">
        <v>119</v>
      </c>
      <c r="E493" s="5">
        <v>1</v>
      </c>
      <c r="F493" s="5">
        <v>0.33300000000000002</v>
      </c>
      <c r="G493" s="5">
        <v>10</v>
      </c>
      <c r="H493" s="5">
        <v>0.125</v>
      </c>
    </row>
    <row r="494" spans="1:8" ht="15.75" customHeight="1" x14ac:dyDescent="0.3">
      <c r="A494" s="8" t="s">
        <v>305</v>
      </c>
      <c r="B494" s="20" t="s">
        <v>306</v>
      </c>
      <c r="C494" s="9" t="s">
        <v>242</v>
      </c>
      <c r="D494" s="8" t="s">
        <v>243</v>
      </c>
      <c r="E494" s="9">
        <v>1</v>
      </c>
      <c r="F494" s="9">
        <v>0.25</v>
      </c>
      <c r="G494" s="9">
        <v>10</v>
      </c>
      <c r="H494" s="9">
        <v>0.2</v>
      </c>
    </row>
    <row r="495" spans="1:8" ht="15.75" customHeight="1" x14ac:dyDescent="0.3">
      <c r="A495" s="6" t="s">
        <v>305</v>
      </c>
      <c r="B495" s="5" t="s">
        <v>306</v>
      </c>
      <c r="C495" s="5" t="s">
        <v>124</v>
      </c>
      <c r="D495" s="6" t="s">
        <v>125</v>
      </c>
      <c r="E495" s="5">
        <v>1</v>
      </c>
      <c r="F495" s="5">
        <v>0.25</v>
      </c>
      <c r="G495" s="5">
        <v>10</v>
      </c>
      <c r="H495" s="5">
        <v>0.16700000000000001</v>
      </c>
    </row>
    <row r="496" spans="1:8" ht="15.75" customHeight="1" x14ac:dyDescent="0.3">
      <c r="A496" s="6" t="s">
        <v>313</v>
      </c>
      <c r="B496" s="5" t="s">
        <v>314</v>
      </c>
      <c r="C496" s="5" t="s">
        <v>52</v>
      </c>
      <c r="D496" s="6" t="s">
        <v>53</v>
      </c>
      <c r="E496" s="5">
        <v>9</v>
      </c>
      <c r="F496" s="5">
        <v>8.3000000000000004E-2</v>
      </c>
      <c r="G496" s="5">
        <v>4</v>
      </c>
      <c r="H496" s="5">
        <v>0.2</v>
      </c>
    </row>
    <row r="497" spans="1:8" ht="15.75" customHeight="1" x14ac:dyDescent="0.3">
      <c r="A497" s="8" t="s">
        <v>313</v>
      </c>
      <c r="B497" s="20" t="s">
        <v>314</v>
      </c>
      <c r="C497" s="9" t="s">
        <v>112</v>
      </c>
      <c r="D497" s="8" t="s">
        <v>113</v>
      </c>
      <c r="E497" s="9">
        <v>8</v>
      </c>
      <c r="F497" s="9">
        <v>0.1</v>
      </c>
      <c r="G497" s="9">
        <v>5</v>
      </c>
      <c r="H497" s="9">
        <v>0.3</v>
      </c>
    </row>
    <row r="498" spans="1:8" ht="15.75" customHeight="1" x14ac:dyDescent="0.3">
      <c r="A498" s="6" t="s">
        <v>313</v>
      </c>
      <c r="B498" s="5" t="s">
        <v>314</v>
      </c>
      <c r="C498" s="5" t="s">
        <v>156</v>
      </c>
      <c r="D498" s="6" t="s">
        <v>157</v>
      </c>
      <c r="E498" s="5">
        <v>5</v>
      </c>
      <c r="F498" s="5">
        <v>0.2</v>
      </c>
      <c r="G498" s="5">
        <v>6</v>
      </c>
      <c r="H498" s="5">
        <v>0.35699999999999998</v>
      </c>
    </row>
    <row r="499" spans="1:8" ht="15.75" customHeight="1" x14ac:dyDescent="0.3">
      <c r="A499" s="8" t="s">
        <v>313</v>
      </c>
      <c r="B499" s="20" t="s">
        <v>314</v>
      </c>
      <c r="C499" s="9" t="s">
        <v>58</v>
      </c>
      <c r="D499" s="8" t="s">
        <v>59</v>
      </c>
      <c r="E499" s="9">
        <v>4</v>
      </c>
      <c r="F499" s="9">
        <v>0.25</v>
      </c>
      <c r="G499" s="9">
        <v>7</v>
      </c>
      <c r="H499" s="9">
        <v>0.44400000000000001</v>
      </c>
    </row>
    <row r="500" spans="1:8" ht="15.75" customHeight="1" x14ac:dyDescent="0.3">
      <c r="A500" s="6" t="s">
        <v>313</v>
      </c>
      <c r="B500" s="5" t="s">
        <v>314</v>
      </c>
      <c r="C500" s="5" t="s">
        <v>210</v>
      </c>
      <c r="D500" s="6" t="s">
        <v>211</v>
      </c>
      <c r="E500" s="5">
        <v>3</v>
      </c>
      <c r="F500" s="5">
        <v>0.25</v>
      </c>
      <c r="G500" s="5">
        <v>8</v>
      </c>
      <c r="H500" s="5">
        <v>0.5</v>
      </c>
    </row>
    <row r="501" spans="1:8" ht="15.75" customHeight="1" x14ac:dyDescent="0.3">
      <c r="A501" s="8" t="s">
        <v>313</v>
      </c>
      <c r="B501" s="20" t="s">
        <v>314</v>
      </c>
      <c r="C501" s="9" t="s">
        <v>48</v>
      </c>
      <c r="D501" s="8" t="s">
        <v>49</v>
      </c>
      <c r="E501" s="9">
        <v>3</v>
      </c>
      <c r="F501" s="9">
        <v>0.33300000000000002</v>
      </c>
      <c r="G501" s="9">
        <v>8</v>
      </c>
      <c r="H501" s="9">
        <v>0.23100000000000001</v>
      </c>
    </row>
    <row r="502" spans="1:8" ht="15.75" customHeight="1" x14ac:dyDescent="0.3">
      <c r="A502" s="6" t="s">
        <v>313</v>
      </c>
      <c r="B502" s="5" t="s">
        <v>314</v>
      </c>
      <c r="C502" s="5" t="s">
        <v>218</v>
      </c>
      <c r="D502" s="6" t="s">
        <v>219</v>
      </c>
      <c r="E502" s="5">
        <v>2</v>
      </c>
      <c r="F502" s="5">
        <v>0.33300000000000002</v>
      </c>
      <c r="G502" s="5">
        <v>9</v>
      </c>
      <c r="H502" s="5">
        <v>0.182</v>
      </c>
    </row>
    <row r="503" spans="1:8" ht="15.75" customHeight="1" x14ac:dyDescent="0.3">
      <c r="A503" s="8" t="s">
        <v>313</v>
      </c>
      <c r="B503" s="20" t="s">
        <v>314</v>
      </c>
      <c r="C503" s="9" t="s">
        <v>109</v>
      </c>
      <c r="D503" s="8" t="s">
        <v>108</v>
      </c>
      <c r="E503" s="9">
        <v>1</v>
      </c>
      <c r="F503" s="9">
        <v>0.14299999999999999</v>
      </c>
      <c r="G503" s="9">
        <v>10</v>
      </c>
      <c r="H503" s="9">
        <v>0.111</v>
      </c>
    </row>
    <row r="504" spans="1:8" ht="15.75" customHeight="1" x14ac:dyDescent="0.3">
      <c r="A504" s="6" t="s">
        <v>313</v>
      </c>
      <c r="B504" s="5" t="s">
        <v>314</v>
      </c>
      <c r="C504" s="5" t="s">
        <v>162</v>
      </c>
      <c r="D504" s="6" t="s">
        <v>163</v>
      </c>
      <c r="E504" s="5">
        <v>1</v>
      </c>
      <c r="F504" s="5">
        <v>0.33300000000000002</v>
      </c>
      <c r="G504" s="5">
        <v>10</v>
      </c>
      <c r="H504" s="5">
        <v>0.16700000000000001</v>
      </c>
    </row>
    <row r="505" spans="1:8" ht="15.75" customHeight="1" x14ac:dyDescent="0.3">
      <c r="A505" s="8" t="s">
        <v>313</v>
      </c>
      <c r="B505" s="20" t="s">
        <v>314</v>
      </c>
      <c r="C505" s="9" t="s">
        <v>315</v>
      </c>
      <c r="D505" s="8" t="s">
        <v>316</v>
      </c>
      <c r="E505" s="9">
        <v>1</v>
      </c>
      <c r="F505" s="9">
        <v>0.33300000000000002</v>
      </c>
      <c r="G505" s="9">
        <v>10</v>
      </c>
      <c r="H505" s="9">
        <v>0.25</v>
      </c>
    </row>
    <row r="506" spans="1:8" ht="15.75" customHeight="1" x14ac:dyDescent="0.3">
      <c r="A506" s="6" t="s">
        <v>313</v>
      </c>
      <c r="B506" s="5" t="s">
        <v>314</v>
      </c>
      <c r="C506" s="5" t="s">
        <v>226</v>
      </c>
      <c r="D506" s="6" t="s">
        <v>227</v>
      </c>
      <c r="E506" s="5">
        <v>1</v>
      </c>
      <c r="F506" s="5">
        <v>0.33300000000000002</v>
      </c>
      <c r="G506" s="5">
        <v>10</v>
      </c>
      <c r="H506" s="5">
        <v>9.0999999999999998E-2</v>
      </c>
    </row>
    <row r="507" spans="1:8" ht="15.75" customHeight="1" x14ac:dyDescent="0.3">
      <c r="A507" s="6" t="s">
        <v>317</v>
      </c>
      <c r="B507" s="5" t="s">
        <v>318</v>
      </c>
      <c r="C507" s="5" t="s">
        <v>116</v>
      </c>
      <c r="D507" s="6" t="s">
        <v>117</v>
      </c>
      <c r="E507" s="5">
        <v>6</v>
      </c>
      <c r="F507" s="5">
        <v>0.14299999999999999</v>
      </c>
      <c r="G507" s="5">
        <v>4</v>
      </c>
      <c r="H507" s="5">
        <v>0.19</v>
      </c>
    </row>
    <row r="508" spans="1:8" ht="15.75" customHeight="1" x14ac:dyDescent="0.3">
      <c r="A508" s="8" t="s">
        <v>317</v>
      </c>
      <c r="B508" s="20" t="s">
        <v>318</v>
      </c>
      <c r="C508" s="9" t="s">
        <v>311</v>
      </c>
      <c r="D508" s="8" t="s">
        <v>312</v>
      </c>
      <c r="E508" s="9">
        <v>4</v>
      </c>
      <c r="F508" s="9">
        <v>0.25</v>
      </c>
      <c r="G508" s="9">
        <v>4</v>
      </c>
      <c r="H508" s="9">
        <v>0.57099999999999995</v>
      </c>
    </row>
    <row r="509" spans="1:8" ht="15.75" customHeight="1" x14ac:dyDescent="0.3">
      <c r="A509" s="6" t="s">
        <v>317</v>
      </c>
      <c r="B509" s="5" t="s">
        <v>318</v>
      </c>
      <c r="C509" s="5" t="s">
        <v>404</v>
      </c>
      <c r="D509" s="6" t="s">
        <v>405</v>
      </c>
      <c r="E509" s="5">
        <v>3</v>
      </c>
      <c r="F509" s="5">
        <v>0.25</v>
      </c>
      <c r="G509" s="5">
        <v>5</v>
      </c>
      <c r="H509" s="5">
        <v>0.3</v>
      </c>
    </row>
    <row r="510" spans="1:8" ht="15.75" customHeight="1" x14ac:dyDescent="0.3">
      <c r="A510" s="8" t="s">
        <v>317</v>
      </c>
      <c r="B510" s="20" t="s">
        <v>318</v>
      </c>
      <c r="C510" s="9" t="s">
        <v>128</v>
      </c>
      <c r="D510" s="8" t="s">
        <v>129</v>
      </c>
      <c r="E510" s="9">
        <v>3</v>
      </c>
      <c r="F510" s="9">
        <v>0.33300000000000002</v>
      </c>
      <c r="G510" s="9">
        <v>5</v>
      </c>
      <c r="H510" s="9">
        <v>0.42899999999999999</v>
      </c>
    </row>
    <row r="511" spans="1:8" ht="15.75" customHeight="1" x14ac:dyDescent="0.3">
      <c r="A511" s="6" t="s">
        <v>317</v>
      </c>
      <c r="B511" s="5" t="s">
        <v>318</v>
      </c>
      <c r="C511" s="5" t="s">
        <v>392</v>
      </c>
      <c r="D511" s="6" t="s">
        <v>393</v>
      </c>
      <c r="E511" s="5">
        <v>3</v>
      </c>
      <c r="F511" s="5">
        <v>0.2</v>
      </c>
      <c r="G511" s="5">
        <v>5</v>
      </c>
      <c r="H511" s="5">
        <v>0.375</v>
      </c>
    </row>
    <row r="512" spans="1:8" ht="15.75" customHeight="1" x14ac:dyDescent="0.3">
      <c r="A512" s="8" t="s">
        <v>317</v>
      </c>
      <c r="B512" s="20" t="s">
        <v>318</v>
      </c>
      <c r="C512" s="9" t="s">
        <v>325</v>
      </c>
      <c r="D512" s="8" t="s">
        <v>326</v>
      </c>
      <c r="E512" s="9">
        <v>3</v>
      </c>
      <c r="F512" s="9">
        <v>0.33300000000000002</v>
      </c>
      <c r="G512" s="9">
        <v>5</v>
      </c>
      <c r="H512" s="9">
        <v>0.5</v>
      </c>
    </row>
    <row r="513" spans="1:8" ht="15.75" customHeight="1" x14ac:dyDescent="0.3">
      <c r="A513" s="6" t="s">
        <v>317</v>
      </c>
      <c r="B513" s="5" t="s">
        <v>318</v>
      </c>
      <c r="C513" s="5" t="s">
        <v>424</v>
      </c>
      <c r="D513" s="6" t="s">
        <v>425</v>
      </c>
      <c r="E513" s="5">
        <v>2</v>
      </c>
      <c r="F513" s="5">
        <v>0.25</v>
      </c>
      <c r="G513" s="5">
        <v>6</v>
      </c>
      <c r="H513" s="5">
        <v>0.4</v>
      </c>
    </row>
    <row r="514" spans="1:8" ht="15.75" customHeight="1" x14ac:dyDescent="0.3">
      <c r="A514" s="8" t="s">
        <v>317</v>
      </c>
      <c r="B514" s="20" t="s">
        <v>318</v>
      </c>
      <c r="C514" s="9" t="s">
        <v>186</v>
      </c>
      <c r="D514" s="8" t="s">
        <v>187</v>
      </c>
      <c r="E514" s="9">
        <v>2</v>
      </c>
      <c r="F514" s="9">
        <v>0.25</v>
      </c>
      <c r="G514" s="9">
        <v>6</v>
      </c>
      <c r="H514" s="9">
        <v>0.16700000000000001</v>
      </c>
    </row>
    <row r="515" spans="1:8" ht="15.75" customHeight="1" x14ac:dyDescent="0.3">
      <c r="A515" s="6" t="s">
        <v>317</v>
      </c>
      <c r="B515" s="5" t="s">
        <v>318</v>
      </c>
      <c r="C515" s="5" t="s">
        <v>323</v>
      </c>
      <c r="D515" s="6" t="s">
        <v>324</v>
      </c>
      <c r="E515" s="5">
        <v>2</v>
      </c>
      <c r="F515" s="5">
        <v>0.16700000000000001</v>
      </c>
      <c r="G515" s="5">
        <v>6</v>
      </c>
      <c r="H515" s="5">
        <v>0.11799999999999999</v>
      </c>
    </row>
    <row r="516" spans="1:8" ht="15.75" customHeight="1" x14ac:dyDescent="0.3">
      <c r="A516" s="8" t="s">
        <v>317</v>
      </c>
      <c r="B516" s="20" t="s">
        <v>318</v>
      </c>
      <c r="C516" s="9" t="s">
        <v>277</v>
      </c>
      <c r="D516" s="8" t="s">
        <v>278</v>
      </c>
      <c r="E516" s="9">
        <v>4</v>
      </c>
      <c r="F516" s="9">
        <v>0.33300000000000002</v>
      </c>
      <c r="G516" s="9">
        <v>6</v>
      </c>
      <c r="H516" s="9">
        <v>0.33300000000000002</v>
      </c>
    </row>
    <row r="517" spans="1:8" ht="15.75" customHeight="1" x14ac:dyDescent="0.3">
      <c r="A517" s="6" t="s">
        <v>317</v>
      </c>
      <c r="B517" s="5" t="s">
        <v>318</v>
      </c>
      <c r="C517" s="5" t="s">
        <v>120</v>
      </c>
      <c r="D517" s="6" t="s">
        <v>121</v>
      </c>
      <c r="E517" s="5">
        <v>2</v>
      </c>
      <c r="F517" s="5">
        <v>0.16700000000000001</v>
      </c>
      <c r="G517" s="5">
        <v>6</v>
      </c>
      <c r="H517" s="5">
        <v>0.1</v>
      </c>
    </row>
    <row r="518" spans="1:8" ht="15.75" customHeight="1" x14ac:dyDescent="0.3">
      <c r="A518" s="8" t="s">
        <v>317</v>
      </c>
      <c r="B518" s="20" t="s">
        <v>318</v>
      </c>
      <c r="C518" s="9" t="s">
        <v>321</v>
      </c>
      <c r="D518" s="8" t="s">
        <v>322</v>
      </c>
      <c r="E518" s="9">
        <v>2</v>
      </c>
      <c r="F518" s="9">
        <v>0.33300000000000002</v>
      </c>
      <c r="G518" s="9">
        <v>6</v>
      </c>
      <c r="H518" s="9">
        <v>0.5</v>
      </c>
    </row>
    <row r="519" spans="1:8" ht="15.75" customHeight="1" x14ac:dyDescent="0.3">
      <c r="A519" s="6" t="s">
        <v>317</v>
      </c>
      <c r="B519" s="5" t="s">
        <v>318</v>
      </c>
      <c r="C519" s="5" t="s">
        <v>307</v>
      </c>
      <c r="D519" s="6" t="s">
        <v>308</v>
      </c>
      <c r="E519" s="5">
        <v>2</v>
      </c>
      <c r="F519" s="5">
        <v>0.25</v>
      </c>
      <c r="G519" s="5">
        <v>6</v>
      </c>
      <c r="H519" s="5">
        <v>0.28599999999999998</v>
      </c>
    </row>
    <row r="520" spans="1:8" ht="15.75" customHeight="1" x14ac:dyDescent="0.3">
      <c r="A520" s="8" t="s">
        <v>317</v>
      </c>
      <c r="B520" s="20" t="s">
        <v>318</v>
      </c>
      <c r="C520" s="9" t="s">
        <v>118</v>
      </c>
      <c r="D520" s="8" t="s">
        <v>119</v>
      </c>
      <c r="E520" s="9">
        <v>2</v>
      </c>
      <c r="F520" s="9">
        <v>0.33300000000000002</v>
      </c>
      <c r="G520" s="9">
        <v>6</v>
      </c>
      <c r="H520" s="9">
        <v>0.25</v>
      </c>
    </row>
    <row r="521" spans="1:8" ht="15.75" customHeight="1" x14ac:dyDescent="0.3">
      <c r="A521" s="6" t="s">
        <v>317</v>
      </c>
      <c r="B521" s="5" t="s">
        <v>318</v>
      </c>
      <c r="C521" s="5" t="s">
        <v>258</v>
      </c>
      <c r="D521" s="6" t="s">
        <v>259</v>
      </c>
      <c r="E521" s="5">
        <v>2</v>
      </c>
      <c r="F521" s="5">
        <v>0.1</v>
      </c>
      <c r="G521" s="5">
        <v>6</v>
      </c>
      <c r="H521" s="5">
        <v>0.105</v>
      </c>
    </row>
    <row r="522" spans="1:8" ht="15.75" customHeight="1" x14ac:dyDescent="0.3">
      <c r="A522" s="8" t="s">
        <v>317</v>
      </c>
      <c r="B522" s="20" t="s">
        <v>318</v>
      </c>
      <c r="C522" s="9" t="s">
        <v>374</v>
      </c>
      <c r="D522" s="8" t="s">
        <v>375</v>
      </c>
      <c r="E522" s="9">
        <v>2</v>
      </c>
      <c r="F522" s="9">
        <v>0.1</v>
      </c>
      <c r="G522" s="9">
        <v>6</v>
      </c>
      <c r="H522" s="9">
        <v>0.14299999999999999</v>
      </c>
    </row>
    <row r="523" spans="1:8" ht="15.75" customHeight="1" x14ac:dyDescent="0.3">
      <c r="A523" s="6" t="s">
        <v>317</v>
      </c>
      <c r="B523" s="5" t="s">
        <v>318</v>
      </c>
      <c r="C523" s="5" t="s">
        <v>124</v>
      </c>
      <c r="D523" s="6" t="s">
        <v>125</v>
      </c>
      <c r="E523" s="5">
        <v>2</v>
      </c>
      <c r="F523" s="5">
        <v>0.25</v>
      </c>
      <c r="G523" s="5">
        <v>6</v>
      </c>
      <c r="H523" s="5">
        <v>0.33300000000000002</v>
      </c>
    </row>
    <row r="524" spans="1:8" ht="15.75" customHeight="1" x14ac:dyDescent="0.3">
      <c r="A524" s="8" t="s">
        <v>317</v>
      </c>
      <c r="B524" s="20" t="s">
        <v>318</v>
      </c>
      <c r="C524" s="9" t="s">
        <v>418</v>
      </c>
      <c r="D524" s="8" t="s">
        <v>419</v>
      </c>
      <c r="E524" s="9">
        <v>1</v>
      </c>
      <c r="F524" s="9">
        <v>0.33300000000000002</v>
      </c>
      <c r="G524" s="9">
        <v>7</v>
      </c>
      <c r="H524" s="9">
        <v>0.25</v>
      </c>
    </row>
    <row r="525" spans="1:8" ht="15.75" customHeight="1" x14ac:dyDescent="0.3">
      <c r="A525" s="6" t="s">
        <v>317</v>
      </c>
      <c r="B525" s="5" t="s">
        <v>318</v>
      </c>
      <c r="C525" s="5" t="s">
        <v>260</v>
      </c>
      <c r="D525" s="6" t="s">
        <v>261</v>
      </c>
      <c r="E525" s="5">
        <v>1</v>
      </c>
      <c r="F525" s="5">
        <v>0.25</v>
      </c>
      <c r="G525" s="5">
        <v>7</v>
      </c>
      <c r="H525" s="5">
        <v>9.0999999999999998E-2</v>
      </c>
    </row>
    <row r="526" spans="1:8" ht="15.75" customHeight="1" x14ac:dyDescent="0.3">
      <c r="A526" s="8" t="s">
        <v>317</v>
      </c>
      <c r="B526" s="20" t="s">
        <v>318</v>
      </c>
      <c r="C526" s="9" t="s">
        <v>281</v>
      </c>
      <c r="D526" s="8" t="s">
        <v>282</v>
      </c>
      <c r="E526" s="9">
        <v>1</v>
      </c>
      <c r="F526" s="9">
        <v>9.0999999999999998E-2</v>
      </c>
      <c r="G526" s="9">
        <v>7</v>
      </c>
      <c r="H526" s="9">
        <v>7.0999999999999994E-2</v>
      </c>
    </row>
    <row r="527" spans="1:8" ht="15.75" customHeight="1" x14ac:dyDescent="0.3">
      <c r="A527" s="6" t="s">
        <v>317</v>
      </c>
      <c r="B527" s="5" t="s">
        <v>318</v>
      </c>
      <c r="C527" s="5" t="s">
        <v>319</v>
      </c>
      <c r="D527" s="6" t="s">
        <v>320</v>
      </c>
      <c r="E527" s="5">
        <v>1</v>
      </c>
      <c r="F527" s="5">
        <v>0.25</v>
      </c>
      <c r="G527" s="5">
        <v>7</v>
      </c>
      <c r="H527" s="5">
        <v>0.2</v>
      </c>
    </row>
    <row r="528" spans="1:8" ht="15.75" customHeight="1" x14ac:dyDescent="0.3">
      <c r="A528" s="6" t="s">
        <v>327</v>
      </c>
      <c r="B528" s="5" t="s">
        <v>328</v>
      </c>
      <c r="C528" s="5" t="s">
        <v>52</v>
      </c>
      <c r="D528" s="6" t="s">
        <v>53</v>
      </c>
      <c r="E528" s="5">
        <v>10</v>
      </c>
      <c r="F528" s="5">
        <v>8.3000000000000004E-2</v>
      </c>
      <c r="G528" s="5">
        <v>2</v>
      </c>
      <c r="H528" s="5">
        <v>0.2</v>
      </c>
    </row>
    <row r="529" spans="1:8" ht="15.75" customHeight="1" x14ac:dyDescent="0.3">
      <c r="A529" s="8" t="s">
        <v>327</v>
      </c>
      <c r="B529" s="20" t="s">
        <v>328</v>
      </c>
      <c r="C529" s="9" t="s">
        <v>41</v>
      </c>
      <c r="D529" s="8" t="s">
        <v>42</v>
      </c>
      <c r="E529" s="9">
        <v>7</v>
      </c>
      <c r="F529" s="9">
        <v>0.16700000000000001</v>
      </c>
      <c r="G529" s="9">
        <v>4</v>
      </c>
      <c r="H529" s="9">
        <v>0.26900000000000002</v>
      </c>
    </row>
    <row r="530" spans="1:8" ht="15.75" customHeight="1" x14ac:dyDescent="0.3">
      <c r="A530" s="6" t="s">
        <v>327</v>
      </c>
      <c r="B530" s="5" t="s">
        <v>328</v>
      </c>
      <c r="C530" s="5" t="s">
        <v>90</v>
      </c>
      <c r="D530" s="6" t="s">
        <v>91</v>
      </c>
      <c r="E530" s="5">
        <v>2</v>
      </c>
      <c r="F530" s="5">
        <v>9.0999999999999998E-2</v>
      </c>
      <c r="G530" s="5">
        <v>8</v>
      </c>
      <c r="H530" s="5">
        <v>3.7999999999999999E-2</v>
      </c>
    </row>
    <row r="531" spans="1:8" ht="15.75" customHeight="1" x14ac:dyDescent="0.3">
      <c r="A531" s="8" t="s">
        <v>327</v>
      </c>
      <c r="B531" s="20" t="s">
        <v>328</v>
      </c>
      <c r="C531" s="9" t="s">
        <v>330</v>
      </c>
      <c r="D531" s="8" t="s">
        <v>331</v>
      </c>
      <c r="E531" s="9">
        <v>2</v>
      </c>
      <c r="F531" s="9">
        <v>0.25</v>
      </c>
      <c r="G531" s="9">
        <v>8</v>
      </c>
      <c r="H531" s="9">
        <v>0.16700000000000001</v>
      </c>
    </row>
    <row r="532" spans="1:8" ht="15.75" customHeight="1" x14ac:dyDescent="0.3">
      <c r="A532" s="6" t="s">
        <v>327</v>
      </c>
      <c r="B532" s="5" t="s">
        <v>328</v>
      </c>
      <c r="C532" s="5" t="s">
        <v>332</v>
      </c>
      <c r="D532" s="6" t="s">
        <v>333</v>
      </c>
      <c r="E532" s="5">
        <v>2</v>
      </c>
      <c r="F532" s="5">
        <v>0.125</v>
      </c>
      <c r="G532" s="5">
        <v>8</v>
      </c>
      <c r="H532" s="5">
        <v>0.154</v>
      </c>
    </row>
    <row r="533" spans="1:8" ht="15.75" customHeight="1" x14ac:dyDescent="0.3">
      <c r="A533" s="8" t="s">
        <v>327</v>
      </c>
      <c r="B533" s="20" t="s">
        <v>328</v>
      </c>
      <c r="C533" s="9" t="s">
        <v>94</v>
      </c>
      <c r="D533" s="8" t="s">
        <v>95</v>
      </c>
      <c r="E533" s="9">
        <v>1</v>
      </c>
      <c r="F533" s="9">
        <v>0.1</v>
      </c>
      <c r="G533" s="9">
        <v>9</v>
      </c>
      <c r="H533" s="9">
        <v>4.8000000000000001E-2</v>
      </c>
    </row>
    <row r="534" spans="1:8" ht="15.75" customHeight="1" x14ac:dyDescent="0.3">
      <c r="A534" s="6" t="s">
        <v>327</v>
      </c>
      <c r="B534" s="5" t="s">
        <v>328</v>
      </c>
      <c r="C534" s="5" t="s">
        <v>18</v>
      </c>
      <c r="D534" s="6" t="s">
        <v>19</v>
      </c>
      <c r="E534" s="5">
        <v>1</v>
      </c>
      <c r="F534" s="5">
        <v>0.111</v>
      </c>
      <c r="G534" s="5">
        <v>9</v>
      </c>
      <c r="H534" s="5">
        <v>5.8999999999999997E-2</v>
      </c>
    </row>
    <row r="535" spans="1:8" ht="15.75" customHeight="1" x14ac:dyDescent="0.3">
      <c r="A535" s="8" t="s">
        <v>327</v>
      </c>
      <c r="B535" s="20" t="s">
        <v>328</v>
      </c>
      <c r="C535" s="9" t="s">
        <v>46</v>
      </c>
      <c r="D535" s="8" t="s">
        <v>47</v>
      </c>
      <c r="E535" s="9">
        <v>1</v>
      </c>
      <c r="F535" s="9">
        <v>0.14299999999999999</v>
      </c>
      <c r="G535" s="9">
        <v>9</v>
      </c>
      <c r="H535" s="9">
        <v>0.05</v>
      </c>
    </row>
    <row r="536" spans="1:8" ht="15.75" customHeight="1" x14ac:dyDescent="0.3">
      <c r="A536" s="6" t="s">
        <v>327</v>
      </c>
      <c r="B536" s="5" t="s">
        <v>328</v>
      </c>
      <c r="C536" s="5" t="s">
        <v>238</v>
      </c>
      <c r="D536" s="6" t="s">
        <v>239</v>
      </c>
      <c r="E536" s="5">
        <v>1</v>
      </c>
      <c r="F536" s="5">
        <v>0.16700000000000001</v>
      </c>
      <c r="G536" s="5">
        <v>9</v>
      </c>
      <c r="H536" s="5">
        <v>8.3000000000000004E-2</v>
      </c>
    </row>
    <row r="537" spans="1:8" ht="15.75" customHeight="1" x14ac:dyDescent="0.3">
      <c r="A537" s="8" t="s">
        <v>327</v>
      </c>
      <c r="B537" s="20" t="s">
        <v>328</v>
      </c>
      <c r="C537" s="9" t="s">
        <v>240</v>
      </c>
      <c r="D537" s="8" t="s">
        <v>241</v>
      </c>
      <c r="E537" s="9">
        <v>1</v>
      </c>
      <c r="F537" s="9">
        <v>9.0999999999999998E-2</v>
      </c>
      <c r="G537" s="9">
        <v>9</v>
      </c>
      <c r="H537" s="9">
        <v>0.04</v>
      </c>
    </row>
    <row r="538" spans="1:8" ht="15.75" customHeight="1" x14ac:dyDescent="0.3">
      <c r="A538" s="6" t="s">
        <v>327</v>
      </c>
      <c r="B538" s="5" t="s">
        <v>328</v>
      </c>
      <c r="C538" s="5" t="s">
        <v>170</v>
      </c>
      <c r="D538" s="6" t="s">
        <v>171</v>
      </c>
      <c r="E538" s="5">
        <v>1</v>
      </c>
      <c r="F538" s="5">
        <v>0.33300000000000002</v>
      </c>
      <c r="G538" s="5">
        <v>9</v>
      </c>
      <c r="H538" s="5">
        <v>6.7000000000000004E-2</v>
      </c>
    </row>
    <row r="539" spans="1:8" ht="15.75" customHeight="1" x14ac:dyDescent="0.3">
      <c r="A539" s="8" t="s">
        <v>327</v>
      </c>
      <c r="B539" s="20" t="s">
        <v>328</v>
      </c>
      <c r="C539" s="9" t="s">
        <v>374</v>
      </c>
      <c r="D539" s="8" t="s">
        <v>375</v>
      </c>
      <c r="E539" s="9">
        <v>1</v>
      </c>
      <c r="F539" s="9">
        <v>0.1</v>
      </c>
      <c r="G539" s="9">
        <v>9</v>
      </c>
      <c r="H539" s="9">
        <v>7.0999999999999994E-2</v>
      </c>
    </row>
    <row r="540" spans="1:8" ht="15.75" customHeight="1" x14ac:dyDescent="0.3">
      <c r="A540" s="6" t="s">
        <v>327</v>
      </c>
      <c r="B540" s="5" t="s">
        <v>328</v>
      </c>
      <c r="C540" s="5" t="s">
        <v>50</v>
      </c>
      <c r="D540" s="6" t="s">
        <v>51</v>
      </c>
      <c r="E540" s="5">
        <v>1</v>
      </c>
      <c r="F540" s="5">
        <v>0.125</v>
      </c>
      <c r="G540" s="5">
        <v>9</v>
      </c>
      <c r="H540" s="5">
        <v>6.2E-2</v>
      </c>
    </row>
    <row r="541" spans="1:8" ht="15.75" customHeight="1" x14ac:dyDescent="0.3">
      <c r="A541" s="6" t="s">
        <v>334</v>
      </c>
      <c r="B541" s="5" t="s">
        <v>335</v>
      </c>
      <c r="C541" s="5" t="s">
        <v>90</v>
      </c>
      <c r="D541" s="6" t="s">
        <v>91</v>
      </c>
      <c r="E541" s="5">
        <v>9</v>
      </c>
      <c r="F541" s="5">
        <v>9.0999999999999998E-2</v>
      </c>
      <c r="G541" s="5">
        <v>2</v>
      </c>
      <c r="H541" s="5">
        <v>0.17299999999999999</v>
      </c>
    </row>
    <row r="542" spans="1:8" ht="15.75" customHeight="1" x14ac:dyDescent="0.3">
      <c r="A542" s="8" t="s">
        <v>334</v>
      </c>
      <c r="B542" s="20" t="s">
        <v>335</v>
      </c>
      <c r="C542" s="9" t="s">
        <v>234</v>
      </c>
      <c r="D542" s="8" t="s">
        <v>235</v>
      </c>
      <c r="E542" s="9">
        <v>9</v>
      </c>
      <c r="F542" s="9">
        <v>0.2</v>
      </c>
      <c r="G542" s="9">
        <v>2</v>
      </c>
      <c r="H542" s="9">
        <v>0.56200000000000006</v>
      </c>
    </row>
    <row r="543" spans="1:8" ht="15.75" customHeight="1" x14ac:dyDescent="0.3">
      <c r="A543" s="6" t="s">
        <v>334</v>
      </c>
      <c r="B543" s="5" t="s">
        <v>335</v>
      </c>
      <c r="C543" s="5" t="s">
        <v>23</v>
      </c>
      <c r="D543" s="6" t="s">
        <v>24</v>
      </c>
      <c r="E543" s="5">
        <v>9</v>
      </c>
      <c r="F543" s="5">
        <v>0.111</v>
      </c>
      <c r="G543" s="5">
        <v>4</v>
      </c>
      <c r="H543" s="5">
        <v>0.26900000000000002</v>
      </c>
    </row>
    <row r="544" spans="1:8" ht="15.75" customHeight="1" x14ac:dyDescent="0.3">
      <c r="A544" s="8" t="s">
        <v>334</v>
      </c>
      <c r="B544" s="20" t="s">
        <v>335</v>
      </c>
      <c r="C544" s="9" t="s">
        <v>271</v>
      </c>
      <c r="D544" s="8" t="s">
        <v>272</v>
      </c>
      <c r="E544" s="9">
        <v>7</v>
      </c>
      <c r="F544" s="9">
        <v>0.33300000000000002</v>
      </c>
      <c r="G544" s="9">
        <v>5</v>
      </c>
      <c r="H544" s="9">
        <v>0.312</v>
      </c>
    </row>
    <row r="545" spans="1:8" ht="15.75" customHeight="1" x14ac:dyDescent="0.3">
      <c r="A545" s="6" t="s">
        <v>334</v>
      </c>
      <c r="B545" s="5" t="s">
        <v>335</v>
      </c>
      <c r="C545" s="5" t="s">
        <v>258</v>
      </c>
      <c r="D545" s="6" t="s">
        <v>259</v>
      </c>
      <c r="E545" s="5">
        <v>4</v>
      </c>
      <c r="F545" s="5">
        <v>0.1</v>
      </c>
      <c r="G545" s="5">
        <v>6</v>
      </c>
      <c r="H545" s="5">
        <v>0.21099999999999999</v>
      </c>
    </row>
    <row r="546" spans="1:8" ht="15.75" customHeight="1" x14ac:dyDescent="0.3">
      <c r="A546" s="8" t="s">
        <v>334</v>
      </c>
      <c r="B546" s="20" t="s">
        <v>335</v>
      </c>
      <c r="C546" s="9" t="s">
        <v>120</v>
      </c>
      <c r="D546" s="8" t="s">
        <v>121</v>
      </c>
      <c r="E546" s="9">
        <v>4</v>
      </c>
      <c r="F546" s="9">
        <v>0.16700000000000001</v>
      </c>
      <c r="G546" s="9">
        <v>7</v>
      </c>
      <c r="H546" s="9">
        <v>0.15</v>
      </c>
    </row>
    <row r="547" spans="1:8" ht="15.75" customHeight="1" x14ac:dyDescent="0.3">
      <c r="A547" s="6" t="s">
        <v>334</v>
      </c>
      <c r="B547" s="5" t="s">
        <v>335</v>
      </c>
      <c r="C547" s="5" t="s">
        <v>350</v>
      </c>
      <c r="D547" s="6" t="s">
        <v>351</v>
      </c>
      <c r="E547" s="5">
        <v>3</v>
      </c>
      <c r="F547" s="5">
        <v>0.25</v>
      </c>
      <c r="G547" s="5">
        <v>7</v>
      </c>
      <c r="H547" s="5">
        <v>0.375</v>
      </c>
    </row>
    <row r="548" spans="1:8" ht="15.75" customHeight="1" x14ac:dyDescent="0.3">
      <c r="A548" s="8" t="s">
        <v>334</v>
      </c>
      <c r="B548" s="20" t="s">
        <v>335</v>
      </c>
      <c r="C548" s="9" t="s">
        <v>380</v>
      </c>
      <c r="D548" s="8" t="s">
        <v>381</v>
      </c>
      <c r="E548" s="9">
        <v>2</v>
      </c>
      <c r="F548" s="9">
        <v>0.16700000000000001</v>
      </c>
      <c r="G548" s="9">
        <v>8</v>
      </c>
      <c r="H548" s="9">
        <v>0.222</v>
      </c>
    </row>
    <row r="549" spans="1:8" ht="15.75" customHeight="1" x14ac:dyDescent="0.3">
      <c r="A549" s="6" t="s">
        <v>334</v>
      </c>
      <c r="B549" s="5" t="s">
        <v>335</v>
      </c>
      <c r="C549" s="5" t="s">
        <v>285</v>
      </c>
      <c r="D549" s="6" t="s">
        <v>286</v>
      </c>
      <c r="E549" s="5">
        <v>2</v>
      </c>
      <c r="F549" s="5">
        <v>0.25</v>
      </c>
      <c r="G549" s="5">
        <v>8</v>
      </c>
      <c r="H549" s="5">
        <v>7.0999999999999994E-2</v>
      </c>
    </row>
    <row r="550" spans="1:8" ht="15.75" customHeight="1" x14ac:dyDescent="0.3">
      <c r="A550" s="8" t="s">
        <v>334</v>
      </c>
      <c r="B550" s="20" t="s">
        <v>335</v>
      </c>
      <c r="C550" s="9" t="s">
        <v>30</v>
      </c>
      <c r="D550" s="8" t="s">
        <v>31</v>
      </c>
      <c r="E550" s="9">
        <v>4</v>
      </c>
      <c r="F550" s="9">
        <v>0.2</v>
      </c>
      <c r="G550" s="9">
        <v>8</v>
      </c>
      <c r="H550" s="9">
        <v>0.25</v>
      </c>
    </row>
    <row r="551" spans="1:8" ht="15.75" customHeight="1" x14ac:dyDescent="0.3">
      <c r="A551" s="6" t="s">
        <v>334</v>
      </c>
      <c r="B551" s="5" t="s">
        <v>335</v>
      </c>
      <c r="C551" s="5" t="s">
        <v>92</v>
      </c>
      <c r="D551" s="6" t="s">
        <v>93</v>
      </c>
      <c r="E551" s="5">
        <v>1</v>
      </c>
      <c r="F551" s="5">
        <v>9.0999999999999998E-2</v>
      </c>
      <c r="G551" s="5">
        <v>9</v>
      </c>
      <c r="H551" s="5">
        <v>3.7999999999999999E-2</v>
      </c>
    </row>
    <row r="552" spans="1:8" ht="15.75" customHeight="1" x14ac:dyDescent="0.3">
      <c r="A552" s="8" t="s">
        <v>334</v>
      </c>
      <c r="B552" s="20" t="s">
        <v>335</v>
      </c>
      <c r="C552" s="9" t="s">
        <v>390</v>
      </c>
      <c r="D552" s="8" t="s">
        <v>391</v>
      </c>
      <c r="E552" s="9">
        <v>1</v>
      </c>
      <c r="F552" s="9">
        <v>0.16700000000000001</v>
      </c>
      <c r="G552" s="9">
        <v>9</v>
      </c>
      <c r="H552" s="9">
        <v>0.14299999999999999</v>
      </c>
    </row>
    <row r="553" spans="1:8" ht="15.75" customHeight="1" x14ac:dyDescent="0.3">
      <c r="A553" s="6" t="s">
        <v>334</v>
      </c>
      <c r="B553" s="5" t="s">
        <v>335</v>
      </c>
      <c r="C553" s="5" t="s">
        <v>336</v>
      </c>
      <c r="D553" s="6" t="s">
        <v>337</v>
      </c>
      <c r="E553" s="5">
        <v>1</v>
      </c>
      <c r="F553" s="5">
        <v>0.111</v>
      </c>
      <c r="G553" s="5">
        <v>9</v>
      </c>
      <c r="H553" s="5">
        <v>5.8999999999999997E-2</v>
      </c>
    </row>
    <row r="554" spans="1:8" ht="15.75" customHeight="1" x14ac:dyDescent="0.3">
      <c r="A554" s="8" t="s">
        <v>334</v>
      </c>
      <c r="B554" s="20" t="s">
        <v>335</v>
      </c>
      <c r="C554" s="9" t="s">
        <v>301</v>
      </c>
      <c r="D554" s="8" t="s">
        <v>302</v>
      </c>
      <c r="E554" s="9">
        <v>1</v>
      </c>
      <c r="F554" s="9">
        <v>0.16700000000000001</v>
      </c>
      <c r="G554" s="9">
        <v>9</v>
      </c>
      <c r="H554" s="9">
        <v>8.3000000000000004E-2</v>
      </c>
    </row>
    <row r="555" spans="1:8" ht="15.75" customHeight="1" x14ac:dyDescent="0.3">
      <c r="A555" s="6" t="s">
        <v>334</v>
      </c>
      <c r="B555" s="5" t="s">
        <v>335</v>
      </c>
      <c r="C555" s="5" t="s">
        <v>338</v>
      </c>
      <c r="D555" s="6" t="s">
        <v>339</v>
      </c>
      <c r="E555" s="5">
        <v>1</v>
      </c>
      <c r="F555" s="5">
        <v>0.33300000000000002</v>
      </c>
      <c r="G555" s="5">
        <v>9</v>
      </c>
      <c r="H555" s="5">
        <v>0.2</v>
      </c>
    </row>
    <row r="556" spans="1:8" ht="15.75" customHeight="1" x14ac:dyDescent="0.3">
      <c r="A556" s="6" t="s">
        <v>340</v>
      </c>
      <c r="B556" s="5" t="s">
        <v>341</v>
      </c>
      <c r="C556" s="5" t="s">
        <v>323</v>
      </c>
      <c r="D556" s="6" t="s">
        <v>324</v>
      </c>
      <c r="E556" s="5">
        <v>9</v>
      </c>
      <c r="F556" s="5">
        <v>0.16700000000000001</v>
      </c>
      <c r="G556" s="5">
        <v>1</v>
      </c>
      <c r="H556" s="5">
        <v>0.52900000000000003</v>
      </c>
    </row>
    <row r="557" spans="1:8" ht="15.75" customHeight="1" x14ac:dyDescent="0.3">
      <c r="A557" s="8" t="s">
        <v>340</v>
      </c>
      <c r="B557" s="20" t="s">
        <v>341</v>
      </c>
      <c r="C557" s="9" t="s">
        <v>74</v>
      </c>
      <c r="D557" s="8" t="s">
        <v>75</v>
      </c>
      <c r="E557" s="9">
        <v>5</v>
      </c>
      <c r="F557" s="9">
        <v>0.2</v>
      </c>
      <c r="G557" s="9">
        <v>2</v>
      </c>
      <c r="H557" s="9">
        <v>0.33300000000000002</v>
      </c>
    </row>
    <row r="558" spans="1:8" ht="15.75" customHeight="1" x14ac:dyDescent="0.3">
      <c r="A558" s="6" t="s">
        <v>340</v>
      </c>
      <c r="B558" s="5" t="s">
        <v>341</v>
      </c>
      <c r="C558" s="5" t="s">
        <v>52</v>
      </c>
      <c r="D558" s="6" t="s">
        <v>53</v>
      </c>
      <c r="E558" s="5">
        <v>6</v>
      </c>
      <c r="F558" s="5">
        <v>8.3000000000000004E-2</v>
      </c>
      <c r="G558" s="5">
        <v>2</v>
      </c>
      <c r="H558" s="5">
        <v>0.111</v>
      </c>
    </row>
    <row r="559" spans="1:8" ht="15.75" customHeight="1" x14ac:dyDescent="0.3">
      <c r="A559" s="8" t="s">
        <v>340</v>
      </c>
      <c r="B559" s="20" t="s">
        <v>341</v>
      </c>
      <c r="C559" s="9" t="s">
        <v>78</v>
      </c>
      <c r="D559" s="8" t="s">
        <v>79</v>
      </c>
      <c r="E559" s="9">
        <v>5</v>
      </c>
      <c r="F559" s="9">
        <v>0.05</v>
      </c>
      <c r="G559" s="9">
        <v>2</v>
      </c>
      <c r="H559" s="9">
        <v>8.8999999999999996E-2</v>
      </c>
    </row>
    <row r="560" spans="1:8" ht="15.75" customHeight="1" x14ac:dyDescent="0.3">
      <c r="A560" s="6" t="s">
        <v>340</v>
      </c>
      <c r="B560" s="5" t="s">
        <v>341</v>
      </c>
      <c r="C560" s="5" t="s">
        <v>112</v>
      </c>
      <c r="D560" s="6" t="s">
        <v>113</v>
      </c>
      <c r="E560" s="5">
        <v>3</v>
      </c>
      <c r="F560" s="5">
        <v>0.1</v>
      </c>
      <c r="G560" s="5">
        <v>4</v>
      </c>
      <c r="H560" s="5">
        <v>0.15</v>
      </c>
    </row>
    <row r="561" spans="1:8" ht="15.75" customHeight="1" x14ac:dyDescent="0.3">
      <c r="A561" s="8" t="s">
        <v>340</v>
      </c>
      <c r="B561" s="20" t="s">
        <v>341</v>
      </c>
      <c r="C561" s="9" t="s">
        <v>380</v>
      </c>
      <c r="D561" s="8" t="s">
        <v>381</v>
      </c>
      <c r="E561" s="9">
        <v>2</v>
      </c>
      <c r="F561" s="9">
        <v>0.16700000000000001</v>
      </c>
      <c r="G561" s="9">
        <v>5</v>
      </c>
      <c r="H561" s="9">
        <v>0.222</v>
      </c>
    </row>
    <row r="562" spans="1:8" ht="15.75" customHeight="1" x14ac:dyDescent="0.3">
      <c r="A562" s="6" t="s">
        <v>340</v>
      </c>
      <c r="B562" s="5" t="s">
        <v>341</v>
      </c>
      <c r="C562" s="5" t="s">
        <v>106</v>
      </c>
      <c r="D562" s="6" t="s">
        <v>107</v>
      </c>
      <c r="E562" s="5">
        <v>3</v>
      </c>
      <c r="F562" s="5">
        <v>0.2</v>
      </c>
      <c r="G562" s="5">
        <v>5</v>
      </c>
      <c r="H562" s="5">
        <v>0.154</v>
      </c>
    </row>
    <row r="563" spans="1:8" ht="15.75" customHeight="1" x14ac:dyDescent="0.3">
      <c r="A563" s="8" t="s">
        <v>340</v>
      </c>
      <c r="B563" s="20" t="s">
        <v>341</v>
      </c>
      <c r="C563" s="9" t="s">
        <v>234</v>
      </c>
      <c r="D563" s="8" t="s">
        <v>235</v>
      </c>
      <c r="E563" s="9">
        <v>2</v>
      </c>
      <c r="F563" s="9">
        <v>0.2</v>
      </c>
      <c r="G563" s="9">
        <v>5</v>
      </c>
      <c r="H563" s="9">
        <v>0.125</v>
      </c>
    </row>
    <row r="564" spans="1:8" ht="15.75" customHeight="1" x14ac:dyDescent="0.3">
      <c r="A564" s="6" t="s">
        <v>340</v>
      </c>
      <c r="B564" s="5" t="s">
        <v>341</v>
      </c>
      <c r="C564" s="5" t="s">
        <v>58</v>
      </c>
      <c r="D564" s="6" t="s">
        <v>59</v>
      </c>
      <c r="E564" s="5">
        <v>2</v>
      </c>
      <c r="F564" s="5">
        <v>0.25</v>
      </c>
      <c r="G564" s="5">
        <v>5</v>
      </c>
      <c r="H564" s="5">
        <v>0.222</v>
      </c>
    </row>
    <row r="565" spans="1:8" ht="15.75" customHeight="1" x14ac:dyDescent="0.3">
      <c r="A565" s="8" t="s">
        <v>340</v>
      </c>
      <c r="B565" s="20" t="s">
        <v>341</v>
      </c>
      <c r="C565" s="9" t="s">
        <v>392</v>
      </c>
      <c r="D565" s="8" t="s">
        <v>393</v>
      </c>
      <c r="E565" s="9">
        <v>2</v>
      </c>
      <c r="F565" s="9">
        <v>0.2</v>
      </c>
      <c r="G565" s="9">
        <v>5</v>
      </c>
      <c r="H565" s="9">
        <v>0.25</v>
      </c>
    </row>
    <row r="566" spans="1:8" ht="15.75" customHeight="1" x14ac:dyDescent="0.3">
      <c r="A566" s="6" t="s">
        <v>340</v>
      </c>
      <c r="B566" s="5" t="s">
        <v>341</v>
      </c>
      <c r="C566" s="5" t="s">
        <v>275</v>
      </c>
      <c r="D566" s="6" t="s">
        <v>276</v>
      </c>
      <c r="E566" s="5">
        <v>2</v>
      </c>
      <c r="F566" s="5">
        <v>0.33300000000000002</v>
      </c>
      <c r="G566" s="5">
        <v>5</v>
      </c>
      <c r="H566" s="5">
        <v>0.5</v>
      </c>
    </row>
    <row r="567" spans="1:8" ht="15.75" customHeight="1" x14ac:dyDescent="0.3">
      <c r="A567" s="8" t="s">
        <v>340</v>
      </c>
      <c r="B567" s="20" t="s">
        <v>341</v>
      </c>
      <c r="C567" s="9" t="s">
        <v>321</v>
      </c>
      <c r="D567" s="8" t="s">
        <v>322</v>
      </c>
      <c r="E567" s="9">
        <v>1</v>
      </c>
      <c r="F567" s="9">
        <v>0.33300000000000002</v>
      </c>
      <c r="G567" s="9">
        <v>6</v>
      </c>
      <c r="H567" s="9">
        <v>0.25</v>
      </c>
    </row>
    <row r="568" spans="1:8" ht="15.75" customHeight="1" x14ac:dyDescent="0.3">
      <c r="A568" s="6" t="s">
        <v>340</v>
      </c>
      <c r="B568" s="5" t="s">
        <v>341</v>
      </c>
      <c r="C568" s="5" t="s">
        <v>422</v>
      </c>
      <c r="D568" s="6" t="s">
        <v>423</v>
      </c>
      <c r="E568" s="5">
        <v>1</v>
      </c>
      <c r="F568" s="5">
        <v>0.33300000000000002</v>
      </c>
      <c r="G568" s="5">
        <v>6</v>
      </c>
      <c r="H568" s="5">
        <v>0.2</v>
      </c>
    </row>
    <row r="569" spans="1:8" ht="15.75" customHeight="1" x14ac:dyDescent="0.3">
      <c r="A569" s="8" t="s">
        <v>340</v>
      </c>
      <c r="B569" s="20" t="s">
        <v>341</v>
      </c>
      <c r="C569" s="9" t="s">
        <v>210</v>
      </c>
      <c r="D569" s="8" t="s">
        <v>211</v>
      </c>
      <c r="E569" s="9">
        <v>1</v>
      </c>
      <c r="F569" s="9">
        <v>0.25</v>
      </c>
      <c r="G569" s="9">
        <v>6</v>
      </c>
      <c r="H569" s="9">
        <v>0.16700000000000001</v>
      </c>
    </row>
    <row r="570" spans="1:8" ht="15.75" customHeight="1" x14ac:dyDescent="0.3">
      <c r="A570" s="6" t="s">
        <v>340</v>
      </c>
      <c r="B570" s="5" t="s">
        <v>341</v>
      </c>
      <c r="C570" s="5" t="s">
        <v>432</v>
      </c>
      <c r="D570" s="6" t="s">
        <v>433</v>
      </c>
      <c r="E570" s="5">
        <v>3</v>
      </c>
      <c r="F570" s="5">
        <v>0.14299999999999999</v>
      </c>
      <c r="G570" s="5">
        <v>6</v>
      </c>
      <c r="H570" s="5">
        <v>0.111</v>
      </c>
    </row>
    <row r="571" spans="1:8" ht="15.75" customHeight="1" x14ac:dyDescent="0.3">
      <c r="A571" s="8" t="s">
        <v>340</v>
      </c>
      <c r="B571" s="20" t="s">
        <v>341</v>
      </c>
      <c r="C571" s="9" t="s">
        <v>130</v>
      </c>
      <c r="D571" s="8" t="s">
        <v>131</v>
      </c>
      <c r="E571" s="9">
        <v>2</v>
      </c>
      <c r="F571" s="9">
        <v>0.2</v>
      </c>
      <c r="G571" s="9">
        <v>6</v>
      </c>
      <c r="H571" s="9">
        <v>5.8999999999999997E-2</v>
      </c>
    </row>
    <row r="572" spans="1:8" ht="15.75" customHeight="1" x14ac:dyDescent="0.3">
      <c r="A572" s="6" t="s">
        <v>340</v>
      </c>
      <c r="B572" s="5" t="s">
        <v>341</v>
      </c>
      <c r="C572" s="5" t="s">
        <v>311</v>
      </c>
      <c r="D572" s="6" t="s">
        <v>312</v>
      </c>
      <c r="E572" s="5">
        <v>1</v>
      </c>
      <c r="F572" s="5">
        <v>0.25</v>
      </c>
      <c r="G572" s="5">
        <v>6</v>
      </c>
      <c r="H572" s="5">
        <v>0.14299999999999999</v>
      </c>
    </row>
    <row r="573" spans="1:8" ht="15.75" customHeight="1" x14ac:dyDescent="0.3">
      <c r="A573" s="8" t="s">
        <v>340</v>
      </c>
      <c r="B573" s="20" t="s">
        <v>341</v>
      </c>
      <c r="C573" s="9" t="s">
        <v>90</v>
      </c>
      <c r="D573" s="8" t="s">
        <v>91</v>
      </c>
      <c r="E573" s="9">
        <v>1</v>
      </c>
      <c r="F573" s="9">
        <v>9.0999999999999998E-2</v>
      </c>
      <c r="G573" s="9">
        <v>6</v>
      </c>
      <c r="H573" s="9">
        <v>1.9E-2</v>
      </c>
    </row>
    <row r="574" spans="1:8" ht="15.75" customHeight="1" x14ac:dyDescent="0.3">
      <c r="A574" s="6" t="s">
        <v>340</v>
      </c>
      <c r="B574" s="5" t="s">
        <v>341</v>
      </c>
      <c r="C574" s="5" t="s">
        <v>23</v>
      </c>
      <c r="D574" s="6" t="s">
        <v>24</v>
      </c>
      <c r="E574" s="5">
        <v>1</v>
      </c>
      <c r="F574" s="5">
        <v>0.111</v>
      </c>
      <c r="G574" s="5">
        <v>6</v>
      </c>
      <c r="H574" s="5">
        <v>3.7999999999999999E-2</v>
      </c>
    </row>
    <row r="575" spans="1:8" ht="15.75" customHeight="1" x14ac:dyDescent="0.3">
      <c r="A575" s="8" t="s">
        <v>340</v>
      </c>
      <c r="B575" s="20" t="s">
        <v>341</v>
      </c>
      <c r="C575" s="9" t="s">
        <v>20</v>
      </c>
      <c r="D575" s="8" t="s">
        <v>21</v>
      </c>
      <c r="E575" s="9">
        <v>1</v>
      </c>
      <c r="F575" s="9">
        <v>0.125</v>
      </c>
      <c r="G575" s="9">
        <v>6</v>
      </c>
      <c r="H575" s="9">
        <v>2.7E-2</v>
      </c>
    </row>
    <row r="576" spans="1:8" ht="15.75" customHeight="1" x14ac:dyDescent="0.3">
      <c r="A576" s="6" t="s">
        <v>340</v>
      </c>
      <c r="B576" s="5" t="s">
        <v>341</v>
      </c>
      <c r="C576" s="5" t="s">
        <v>336</v>
      </c>
      <c r="D576" s="6" t="s">
        <v>337</v>
      </c>
      <c r="E576" s="5">
        <v>1</v>
      </c>
      <c r="F576" s="5">
        <v>0.111</v>
      </c>
      <c r="G576" s="5">
        <v>6</v>
      </c>
      <c r="H576" s="5">
        <v>5.8999999999999997E-2</v>
      </c>
    </row>
    <row r="577" spans="1:8" ht="15.75" customHeight="1" x14ac:dyDescent="0.3">
      <c r="A577" s="8" t="s">
        <v>340</v>
      </c>
      <c r="B577" s="20" t="s">
        <v>341</v>
      </c>
      <c r="C577" s="9" t="s">
        <v>54</v>
      </c>
      <c r="D577" s="8" t="s">
        <v>55</v>
      </c>
      <c r="E577" s="9">
        <v>1</v>
      </c>
      <c r="F577" s="9">
        <v>0.25</v>
      </c>
      <c r="G577" s="9">
        <v>6</v>
      </c>
      <c r="H577" s="9">
        <v>4.4999999999999998E-2</v>
      </c>
    </row>
    <row r="578" spans="1:8" ht="15.75" customHeight="1" x14ac:dyDescent="0.3">
      <c r="A578" s="6" t="s">
        <v>340</v>
      </c>
      <c r="B578" s="5" t="s">
        <v>341</v>
      </c>
      <c r="C578" s="5" t="s">
        <v>307</v>
      </c>
      <c r="D578" s="6" t="s">
        <v>308</v>
      </c>
      <c r="E578" s="5">
        <v>1</v>
      </c>
      <c r="F578" s="5">
        <v>0.25</v>
      </c>
      <c r="G578" s="5">
        <v>6</v>
      </c>
      <c r="H578" s="5">
        <v>0.14299999999999999</v>
      </c>
    </row>
    <row r="579" spans="1:8" ht="15.75" customHeight="1" x14ac:dyDescent="0.3">
      <c r="A579" s="8" t="s">
        <v>340</v>
      </c>
      <c r="B579" s="20" t="s">
        <v>341</v>
      </c>
      <c r="C579" s="9" t="s">
        <v>386</v>
      </c>
      <c r="D579" s="8" t="s">
        <v>387</v>
      </c>
      <c r="E579" s="9">
        <v>1</v>
      </c>
      <c r="F579" s="9">
        <v>0.33300000000000002</v>
      </c>
      <c r="G579" s="9">
        <v>6</v>
      </c>
      <c r="H579" s="9">
        <v>0.25</v>
      </c>
    </row>
    <row r="580" spans="1:8" ht="15.75" customHeight="1" x14ac:dyDescent="0.3">
      <c r="A580" s="6" t="s">
        <v>340</v>
      </c>
      <c r="B580" s="5" t="s">
        <v>341</v>
      </c>
      <c r="C580" s="5" t="s">
        <v>240</v>
      </c>
      <c r="D580" s="6" t="s">
        <v>241</v>
      </c>
      <c r="E580" s="5">
        <v>1</v>
      </c>
      <c r="F580" s="5">
        <v>9.0999999999999998E-2</v>
      </c>
      <c r="G580" s="5">
        <v>6</v>
      </c>
      <c r="H580" s="5">
        <v>0.04</v>
      </c>
    </row>
    <row r="581" spans="1:8" ht="15.75" customHeight="1" x14ac:dyDescent="0.3">
      <c r="A581" s="8" t="s">
        <v>340</v>
      </c>
      <c r="B581" s="20" t="s">
        <v>341</v>
      </c>
      <c r="C581" s="9" t="s">
        <v>303</v>
      </c>
      <c r="D581" s="8" t="s">
        <v>304</v>
      </c>
      <c r="E581" s="9">
        <v>1</v>
      </c>
      <c r="F581" s="9">
        <v>0.33300000000000002</v>
      </c>
      <c r="G581" s="9">
        <v>6</v>
      </c>
      <c r="H581" s="9">
        <v>0.14299999999999999</v>
      </c>
    </row>
    <row r="582" spans="1:8" ht="15.75" customHeight="1" x14ac:dyDescent="0.3">
      <c r="A582" s="6" t="s">
        <v>340</v>
      </c>
      <c r="B582" s="5" t="s">
        <v>341</v>
      </c>
      <c r="C582" s="5" t="s">
        <v>374</v>
      </c>
      <c r="D582" s="6" t="s">
        <v>375</v>
      </c>
      <c r="E582" s="5">
        <v>1</v>
      </c>
      <c r="F582" s="5">
        <v>0.1</v>
      </c>
      <c r="G582" s="5">
        <v>6</v>
      </c>
      <c r="H582" s="5">
        <v>7.0999999999999994E-2</v>
      </c>
    </row>
    <row r="583" spans="1:8" ht="15.75" customHeight="1" x14ac:dyDescent="0.3">
      <c r="A583" s="8" t="s">
        <v>340</v>
      </c>
      <c r="B583" s="20" t="s">
        <v>341</v>
      </c>
      <c r="C583" s="9" t="s">
        <v>124</v>
      </c>
      <c r="D583" s="8" t="s">
        <v>125</v>
      </c>
      <c r="E583" s="9">
        <v>1</v>
      </c>
      <c r="F583" s="9">
        <v>0.25</v>
      </c>
      <c r="G583" s="9">
        <v>6</v>
      </c>
      <c r="H583" s="9">
        <v>0.16700000000000001</v>
      </c>
    </row>
    <row r="584" spans="1:8" ht="15.75" customHeight="1" x14ac:dyDescent="0.3">
      <c r="A584" s="6" t="s">
        <v>340</v>
      </c>
      <c r="B584" s="5" t="s">
        <v>341</v>
      </c>
      <c r="C584" s="5" t="s">
        <v>50</v>
      </c>
      <c r="D584" s="6" t="s">
        <v>51</v>
      </c>
      <c r="E584" s="5">
        <v>1</v>
      </c>
      <c r="F584" s="5">
        <v>0.125</v>
      </c>
      <c r="G584" s="5">
        <v>6</v>
      </c>
      <c r="H584" s="5">
        <v>6.2E-2</v>
      </c>
    </row>
    <row r="585" spans="1:8" ht="15.75" customHeight="1" x14ac:dyDescent="0.3">
      <c r="A585" s="6" t="s">
        <v>342</v>
      </c>
      <c r="B585" s="5" t="s">
        <v>343</v>
      </c>
      <c r="C585" s="5" t="s">
        <v>224</v>
      </c>
      <c r="D585" s="6" t="s">
        <v>225</v>
      </c>
      <c r="E585" s="5">
        <v>9</v>
      </c>
      <c r="F585" s="5">
        <v>0.111</v>
      </c>
      <c r="G585" s="5">
        <v>7</v>
      </c>
      <c r="H585" s="5">
        <v>0.23100000000000001</v>
      </c>
    </row>
    <row r="586" spans="1:8" ht="15.75" customHeight="1" x14ac:dyDescent="0.3">
      <c r="A586" s="8" t="s">
        <v>342</v>
      </c>
      <c r="B586" s="20" t="s">
        <v>343</v>
      </c>
      <c r="C586" s="9" t="s">
        <v>348</v>
      </c>
      <c r="D586" s="8" t="s">
        <v>349</v>
      </c>
      <c r="E586" s="9">
        <v>3</v>
      </c>
      <c r="F586" s="9">
        <v>0.33300000000000002</v>
      </c>
      <c r="G586" s="9">
        <v>9</v>
      </c>
      <c r="H586" s="9">
        <v>0.6</v>
      </c>
    </row>
    <row r="587" spans="1:8" ht="15.75" customHeight="1" x14ac:dyDescent="0.3">
      <c r="A587" s="6" t="s">
        <v>342</v>
      </c>
      <c r="B587" s="5" t="s">
        <v>343</v>
      </c>
      <c r="C587" s="5" t="s">
        <v>344</v>
      </c>
      <c r="D587" s="6" t="s">
        <v>345</v>
      </c>
      <c r="E587" s="5">
        <v>3</v>
      </c>
      <c r="F587" s="5">
        <v>0.33300000000000002</v>
      </c>
      <c r="G587" s="5">
        <v>9</v>
      </c>
      <c r="H587" s="5">
        <v>0.5</v>
      </c>
    </row>
    <row r="588" spans="1:8" ht="15.75" customHeight="1" x14ac:dyDescent="0.3">
      <c r="A588" s="8" t="s">
        <v>342</v>
      </c>
      <c r="B588" s="20" t="s">
        <v>343</v>
      </c>
      <c r="C588" s="9" t="s">
        <v>346</v>
      </c>
      <c r="D588" s="8" t="s">
        <v>347</v>
      </c>
      <c r="E588" s="9">
        <v>3</v>
      </c>
      <c r="F588" s="9">
        <v>0.33300000000000002</v>
      </c>
      <c r="G588" s="9">
        <v>9</v>
      </c>
      <c r="H588" s="9">
        <v>0.6</v>
      </c>
    </row>
    <row r="589" spans="1:8" ht="15.75" customHeight="1" x14ac:dyDescent="0.3">
      <c r="A589" s="6" t="s">
        <v>342</v>
      </c>
      <c r="B589" s="5" t="s">
        <v>343</v>
      </c>
      <c r="C589" s="5" t="s">
        <v>190</v>
      </c>
      <c r="D589" s="6" t="s">
        <v>191</v>
      </c>
      <c r="E589" s="5">
        <v>3</v>
      </c>
      <c r="F589" s="5">
        <v>0.33300000000000002</v>
      </c>
      <c r="G589" s="5">
        <v>9</v>
      </c>
      <c r="H589" s="5">
        <v>0.27300000000000002</v>
      </c>
    </row>
    <row r="590" spans="1:8" ht="15.75" customHeight="1" x14ac:dyDescent="0.3">
      <c r="A590" s="8" t="s">
        <v>342</v>
      </c>
      <c r="B590" s="20" t="s">
        <v>343</v>
      </c>
      <c r="C590" s="9" t="s">
        <v>52</v>
      </c>
      <c r="D590" s="8" t="s">
        <v>53</v>
      </c>
      <c r="E590" s="9">
        <v>4</v>
      </c>
      <c r="F590" s="9">
        <v>8.3000000000000004E-2</v>
      </c>
      <c r="G590" s="9">
        <v>9</v>
      </c>
      <c r="H590" s="9">
        <v>6.7000000000000004E-2</v>
      </c>
    </row>
    <row r="591" spans="1:8" ht="15.75" customHeight="1" x14ac:dyDescent="0.3">
      <c r="A591" s="6" t="s">
        <v>342</v>
      </c>
      <c r="B591" s="5" t="s">
        <v>343</v>
      </c>
      <c r="C591" s="5" t="s">
        <v>78</v>
      </c>
      <c r="D591" s="6" t="s">
        <v>79</v>
      </c>
      <c r="E591" s="5">
        <v>3</v>
      </c>
      <c r="F591" s="5">
        <v>0.05</v>
      </c>
      <c r="G591" s="5">
        <v>9</v>
      </c>
      <c r="H591" s="5">
        <v>5.3999999999999999E-2</v>
      </c>
    </row>
    <row r="592" spans="1:8" ht="15.75" customHeight="1" x14ac:dyDescent="0.3">
      <c r="A592" s="8" t="s">
        <v>342</v>
      </c>
      <c r="B592" s="20" t="s">
        <v>343</v>
      </c>
      <c r="C592" s="9" t="s">
        <v>20</v>
      </c>
      <c r="D592" s="8" t="s">
        <v>21</v>
      </c>
      <c r="E592" s="9">
        <v>2</v>
      </c>
      <c r="F592" s="9">
        <v>0.125</v>
      </c>
      <c r="G592" s="9">
        <v>10</v>
      </c>
      <c r="H592" s="9">
        <v>5.3999999999999999E-2</v>
      </c>
    </row>
    <row r="593" spans="1:8" ht="15.75" customHeight="1" x14ac:dyDescent="0.3">
      <c r="A593" s="6" t="s">
        <v>342</v>
      </c>
      <c r="B593" s="5" t="s">
        <v>343</v>
      </c>
      <c r="C593" s="5" t="s">
        <v>64</v>
      </c>
      <c r="D593" s="6" t="s">
        <v>65</v>
      </c>
      <c r="E593" s="5">
        <v>1</v>
      </c>
      <c r="F593" s="5">
        <v>0.33300000000000002</v>
      </c>
      <c r="G593" s="5">
        <v>11</v>
      </c>
      <c r="H593" s="5">
        <v>0.05</v>
      </c>
    </row>
    <row r="594" spans="1:8" ht="15.75" customHeight="1" x14ac:dyDescent="0.3">
      <c r="A594" s="8" t="s">
        <v>342</v>
      </c>
      <c r="B594" s="20" t="s">
        <v>343</v>
      </c>
      <c r="C594" s="9" t="s">
        <v>332</v>
      </c>
      <c r="D594" s="8" t="s">
        <v>333</v>
      </c>
      <c r="E594" s="9">
        <v>1</v>
      </c>
      <c r="F594" s="9">
        <v>0.125</v>
      </c>
      <c r="G594" s="9">
        <v>11</v>
      </c>
      <c r="H594" s="9">
        <v>7.6999999999999999E-2</v>
      </c>
    </row>
    <row r="595" spans="1:8" ht="15.75" customHeight="1" x14ac:dyDescent="0.3">
      <c r="A595" s="6" t="s">
        <v>342</v>
      </c>
      <c r="B595" s="5" t="s">
        <v>343</v>
      </c>
      <c r="C595" s="5" t="s">
        <v>410</v>
      </c>
      <c r="D595" s="6" t="s">
        <v>411</v>
      </c>
      <c r="E595" s="5">
        <v>1</v>
      </c>
      <c r="F595" s="5">
        <v>0.25</v>
      </c>
      <c r="G595" s="5">
        <v>11</v>
      </c>
      <c r="H595" s="5">
        <v>0.2</v>
      </c>
    </row>
    <row r="596" spans="1:8" ht="15.75" customHeight="1" x14ac:dyDescent="0.3">
      <c r="A596" s="8" t="s">
        <v>342</v>
      </c>
      <c r="B596" s="20" t="s">
        <v>343</v>
      </c>
      <c r="C596" s="9" t="s">
        <v>68</v>
      </c>
      <c r="D596" s="8" t="s">
        <v>69</v>
      </c>
      <c r="E596" s="9">
        <v>1</v>
      </c>
      <c r="F596" s="9">
        <v>0.14299999999999999</v>
      </c>
      <c r="G596" s="9">
        <v>11</v>
      </c>
      <c r="H596" s="9">
        <v>5.6000000000000001E-2</v>
      </c>
    </row>
    <row r="597" spans="1:8" ht="15.75" customHeight="1" x14ac:dyDescent="0.3">
      <c r="A597" s="6" t="s">
        <v>342</v>
      </c>
      <c r="B597" s="5" t="s">
        <v>343</v>
      </c>
      <c r="C597" s="5" t="s">
        <v>80</v>
      </c>
      <c r="D597" s="6" t="s">
        <v>81</v>
      </c>
      <c r="E597" s="5">
        <v>1</v>
      </c>
      <c r="F597" s="5">
        <v>0.25</v>
      </c>
      <c r="G597" s="5">
        <v>11</v>
      </c>
      <c r="H597" s="5">
        <v>0.16700000000000001</v>
      </c>
    </row>
    <row r="598" spans="1:8" ht="15.75" customHeight="1" x14ac:dyDescent="0.3">
      <c r="A598" s="8" t="s">
        <v>342</v>
      </c>
      <c r="B598" s="20" t="s">
        <v>343</v>
      </c>
      <c r="C598" s="9" t="s">
        <v>350</v>
      </c>
      <c r="D598" s="8" t="s">
        <v>351</v>
      </c>
      <c r="E598" s="9">
        <v>1</v>
      </c>
      <c r="F598" s="9">
        <v>0.25</v>
      </c>
      <c r="G598" s="9">
        <v>11</v>
      </c>
      <c r="H598" s="9">
        <v>0.125</v>
      </c>
    </row>
    <row r="599" spans="1:8" ht="15.75" customHeight="1" x14ac:dyDescent="0.3">
      <c r="A599" s="6" t="s">
        <v>352</v>
      </c>
      <c r="B599" s="5" t="s">
        <v>353</v>
      </c>
      <c r="C599" s="5" t="s">
        <v>354</v>
      </c>
      <c r="D599" s="6" t="s">
        <v>355</v>
      </c>
      <c r="E599" s="5">
        <v>17</v>
      </c>
      <c r="F599" s="5">
        <v>0.16700000000000001</v>
      </c>
      <c r="G599" s="5">
        <v>2</v>
      </c>
      <c r="H599" s="5">
        <v>0.5</v>
      </c>
    </row>
    <row r="600" spans="1:8" ht="15.75" customHeight="1" x14ac:dyDescent="0.3">
      <c r="A600" s="8" t="s">
        <v>352</v>
      </c>
      <c r="B600" s="20" t="s">
        <v>353</v>
      </c>
      <c r="C600" s="9" t="s">
        <v>64</v>
      </c>
      <c r="D600" s="8" t="s">
        <v>65</v>
      </c>
      <c r="E600" s="9">
        <v>8</v>
      </c>
      <c r="F600" s="9">
        <v>0.33300000000000002</v>
      </c>
      <c r="G600" s="9">
        <v>3</v>
      </c>
      <c r="H600" s="9">
        <v>0.4</v>
      </c>
    </row>
    <row r="601" spans="1:8" ht="15.75" customHeight="1" x14ac:dyDescent="0.3">
      <c r="A601" s="6" t="s">
        <v>352</v>
      </c>
      <c r="B601" s="5" t="s">
        <v>353</v>
      </c>
      <c r="C601" s="5" t="s">
        <v>414</v>
      </c>
      <c r="D601" s="6" t="s">
        <v>415</v>
      </c>
      <c r="E601" s="5">
        <v>12</v>
      </c>
      <c r="F601" s="5">
        <v>0.25</v>
      </c>
      <c r="G601" s="5">
        <v>4</v>
      </c>
      <c r="H601" s="5">
        <v>0.53800000000000003</v>
      </c>
    </row>
    <row r="602" spans="1:8" ht="15.75" customHeight="1" x14ac:dyDescent="0.3">
      <c r="A602" s="8" t="s">
        <v>352</v>
      </c>
      <c r="B602" s="20" t="s">
        <v>353</v>
      </c>
      <c r="C602" s="9" t="s">
        <v>72</v>
      </c>
      <c r="D602" s="8" t="s">
        <v>73</v>
      </c>
      <c r="E602" s="9">
        <v>6</v>
      </c>
      <c r="F602" s="9">
        <v>0.33300000000000002</v>
      </c>
      <c r="G602" s="9">
        <v>5</v>
      </c>
      <c r="H602" s="9">
        <v>0.375</v>
      </c>
    </row>
    <row r="603" spans="1:8" ht="15.75" customHeight="1" x14ac:dyDescent="0.3">
      <c r="A603" s="6" t="s">
        <v>352</v>
      </c>
      <c r="B603" s="5" t="s">
        <v>353</v>
      </c>
      <c r="C603" s="5" t="s">
        <v>240</v>
      </c>
      <c r="D603" s="6" t="s">
        <v>241</v>
      </c>
      <c r="E603" s="5">
        <v>6</v>
      </c>
      <c r="F603" s="5">
        <v>9.0999999999999998E-2</v>
      </c>
      <c r="G603" s="5">
        <v>5</v>
      </c>
      <c r="H603" s="5">
        <v>0.24</v>
      </c>
    </row>
    <row r="604" spans="1:8" ht="15.75" customHeight="1" x14ac:dyDescent="0.3">
      <c r="A604" s="8" t="s">
        <v>352</v>
      </c>
      <c r="B604" s="20" t="s">
        <v>353</v>
      </c>
      <c r="C604" s="9" t="s">
        <v>68</v>
      </c>
      <c r="D604" s="8" t="s">
        <v>69</v>
      </c>
      <c r="E604" s="9">
        <v>5</v>
      </c>
      <c r="F604" s="9">
        <v>0.14299999999999999</v>
      </c>
      <c r="G604" s="9">
        <v>6</v>
      </c>
      <c r="H604" s="9">
        <v>0.27800000000000002</v>
      </c>
    </row>
    <row r="605" spans="1:8" ht="15.75" customHeight="1" x14ac:dyDescent="0.3">
      <c r="A605" s="6" t="s">
        <v>352</v>
      </c>
      <c r="B605" s="5" t="s">
        <v>353</v>
      </c>
      <c r="C605" s="5" t="s">
        <v>200</v>
      </c>
      <c r="D605" s="6" t="s">
        <v>201</v>
      </c>
      <c r="E605" s="5">
        <v>5</v>
      </c>
      <c r="F605" s="5">
        <v>0.33300000000000002</v>
      </c>
      <c r="G605" s="5">
        <v>6</v>
      </c>
      <c r="H605" s="5">
        <v>0.35699999999999998</v>
      </c>
    </row>
    <row r="606" spans="1:8" ht="15.75" customHeight="1" x14ac:dyDescent="0.3">
      <c r="A606" s="8" t="s">
        <v>352</v>
      </c>
      <c r="B606" s="20" t="s">
        <v>353</v>
      </c>
      <c r="C606" s="9" t="s">
        <v>78</v>
      </c>
      <c r="D606" s="8" t="s">
        <v>79</v>
      </c>
      <c r="E606" s="9">
        <v>4</v>
      </c>
      <c r="F606" s="9">
        <v>0.05</v>
      </c>
      <c r="G606" s="9">
        <v>7</v>
      </c>
      <c r="H606" s="9">
        <v>7.0999999999999994E-2</v>
      </c>
    </row>
    <row r="607" spans="1:8" ht="15.75" customHeight="1" x14ac:dyDescent="0.3">
      <c r="A607" s="6" t="s">
        <v>352</v>
      </c>
      <c r="B607" s="5" t="s">
        <v>353</v>
      </c>
      <c r="C607" s="5" t="s">
        <v>74</v>
      </c>
      <c r="D607" s="6" t="s">
        <v>75</v>
      </c>
      <c r="E607" s="5">
        <v>3</v>
      </c>
      <c r="F607" s="5">
        <v>0.2</v>
      </c>
      <c r="G607" s="5">
        <v>8</v>
      </c>
      <c r="H607" s="5">
        <v>0.2</v>
      </c>
    </row>
    <row r="608" spans="1:8" ht="15.75" customHeight="1" x14ac:dyDescent="0.3">
      <c r="A608" s="8" t="s">
        <v>352</v>
      </c>
      <c r="B608" s="20" t="s">
        <v>353</v>
      </c>
      <c r="C608" s="9" t="s">
        <v>76</v>
      </c>
      <c r="D608" s="8" t="s">
        <v>77</v>
      </c>
      <c r="E608" s="9">
        <v>3</v>
      </c>
      <c r="F608" s="9">
        <v>0.25</v>
      </c>
      <c r="G608" s="9">
        <v>8</v>
      </c>
      <c r="H608" s="9">
        <v>0.27300000000000002</v>
      </c>
    </row>
    <row r="609" spans="1:8" ht="15.75" customHeight="1" x14ac:dyDescent="0.3">
      <c r="A609" s="6" t="s">
        <v>352</v>
      </c>
      <c r="B609" s="5" t="s">
        <v>353</v>
      </c>
      <c r="C609" s="5" t="s">
        <v>202</v>
      </c>
      <c r="D609" s="6" t="s">
        <v>203</v>
      </c>
      <c r="E609" s="5">
        <v>2</v>
      </c>
      <c r="F609" s="5">
        <v>0.25</v>
      </c>
      <c r="G609" s="5">
        <v>9</v>
      </c>
      <c r="H609" s="5">
        <v>0.4</v>
      </c>
    </row>
    <row r="610" spans="1:8" ht="15.75" customHeight="1" x14ac:dyDescent="0.3">
      <c r="A610" s="8" t="s">
        <v>352</v>
      </c>
      <c r="B610" s="20" t="s">
        <v>353</v>
      </c>
      <c r="C610" s="9" t="s">
        <v>41</v>
      </c>
      <c r="D610" s="8" t="s">
        <v>42</v>
      </c>
      <c r="E610" s="9">
        <v>2</v>
      </c>
      <c r="F610" s="9">
        <v>0.16700000000000001</v>
      </c>
      <c r="G610" s="9">
        <v>9</v>
      </c>
      <c r="H610" s="9">
        <v>7.6999999999999999E-2</v>
      </c>
    </row>
    <row r="611" spans="1:8" ht="15.75" customHeight="1" x14ac:dyDescent="0.3">
      <c r="A611" s="6" t="s">
        <v>352</v>
      </c>
      <c r="B611" s="5" t="s">
        <v>353</v>
      </c>
      <c r="C611" s="5" t="s">
        <v>238</v>
      </c>
      <c r="D611" s="6" t="s">
        <v>239</v>
      </c>
      <c r="E611" s="5">
        <v>2</v>
      </c>
      <c r="F611" s="5">
        <v>0.16700000000000001</v>
      </c>
      <c r="G611" s="5">
        <v>9</v>
      </c>
      <c r="H611" s="5">
        <v>0.16700000000000001</v>
      </c>
    </row>
    <row r="612" spans="1:8" ht="15.75" customHeight="1" x14ac:dyDescent="0.3">
      <c r="A612" s="8" t="s">
        <v>352</v>
      </c>
      <c r="B612" s="20" t="s">
        <v>353</v>
      </c>
      <c r="C612" s="9" t="s">
        <v>156</v>
      </c>
      <c r="D612" s="8" t="s">
        <v>157</v>
      </c>
      <c r="E612" s="9">
        <v>2</v>
      </c>
      <c r="F612" s="9">
        <v>0.2</v>
      </c>
      <c r="G612" s="9">
        <v>9</v>
      </c>
      <c r="H612" s="9">
        <v>0.14299999999999999</v>
      </c>
    </row>
    <row r="613" spans="1:8" ht="15.75" customHeight="1" x14ac:dyDescent="0.3">
      <c r="A613" s="6" t="s">
        <v>352</v>
      </c>
      <c r="B613" s="5" t="s">
        <v>353</v>
      </c>
      <c r="C613" s="5" t="s">
        <v>234</v>
      </c>
      <c r="D613" s="6" t="s">
        <v>235</v>
      </c>
      <c r="E613" s="5">
        <v>2</v>
      </c>
      <c r="F613" s="5">
        <v>0.2</v>
      </c>
      <c r="G613" s="5">
        <v>9</v>
      </c>
      <c r="H613" s="5">
        <v>0.125</v>
      </c>
    </row>
    <row r="614" spans="1:8" ht="15.75" customHeight="1" x14ac:dyDescent="0.3">
      <c r="A614" s="8" t="s">
        <v>352</v>
      </c>
      <c r="B614" s="20" t="s">
        <v>353</v>
      </c>
      <c r="C614" s="9" t="s">
        <v>198</v>
      </c>
      <c r="D614" s="8" t="s">
        <v>199</v>
      </c>
      <c r="E614" s="9">
        <v>2</v>
      </c>
      <c r="F614" s="9">
        <v>0.33300000000000002</v>
      </c>
      <c r="G614" s="9">
        <v>9</v>
      </c>
      <c r="H614" s="9">
        <v>0.5</v>
      </c>
    </row>
    <row r="615" spans="1:8" ht="15.75" customHeight="1" x14ac:dyDescent="0.3">
      <c r="A615" s="6" t="s">
        <v>352</v>
      </c>
      <c r="B615" s="5" t="s">
        <v>353</v>
      </c>
      <c r="C615" s="5" t="s">
        <v>66</v>
      </c>
      <c r="D615" s="6" t="s">
        <v>67</v>
      </c>
      <c r="E615" s="5">
        <v>2</v>
      </c>
      <c r="F615" s="5">
        <v>0.33300000000000002</v>
      </c>
      <c r="G615" s="5">
        <v>9</v>
      </c>
      <c r="H615" s="5">
        <v>0.33300000000000002</v>
      </c>
    </row>
    <row r="616" spans="1:8" ht="15.75" customHeight="1" x14ac:dyDescent="0.3">
      <c r="A616" s="8" t="s">
        <v>352</v>
      </c>
      <c r="B616" s="20" t="s">
        <v>353</v>
      </c>
      <c r="C616" s="9" t="s">
        <v>222</v>
      </c>
      <c r="D616" s="8" t="s">
        <v>223</v>
      </c>
      <c r="E616" s="9">
        <v>1</v>
      </c>
      <c r="F616" s="9">
        <v>0.16700000000000001</v>
      </c>
      <c r="G616" s="9">
        <v>10</v>
      </c>
      <c r="H616" s="9">
        <v>0.125</v>
      </c>
    </row>
    <row r="617" spans="1:8" ht="15.75" customHeight="1" x14ac:dyDescent="0.3">
      <c r="A617" s="6" t="s">
        <v>352</v>
      </c>
      <c r="B617" s="5" t="s">
        <v>353</v>
      </c>
      <c r="C617" s="5" t="s">
        <v>48</v>
      </c>
      <c r="D617" s="6" t="s">
        <v>49</v>
      </c>
      <c r="E617" s="5">
        <v>1</v>
      </c>
      <c r="F617" s="5">
        <v>0.33300000000000002</v>
      </c>
      <c r="G617" s="5">
        <v>10</v>
      </c>
      <c r="H617" s="5">
        <v>7.6999999999999999E-2</v>
      </c>
    </row>
    <row r="618" spans="1:8" ht="15.75" customHeight="1" x14ac:dyDescent="0.3">
      <c r="A618" s="8" t="s">
        <v>352</v>
      </c>
      <c r="B618" s="20" t="s">
        <v>353</v>
      </c>
      <c r="C618" s="9" t="s">
        <v>348</v>
      </c>
      <c r="D618" s="8" t="s">
        <v>349</v>
      </c>
      <c r="E618" s="9">
        <v>1</v>
      </c>
      <c r="F618" s="9">
        <v>0.33300000000000002</v>
      </c>
      <c r="G618" s="9">
        <v>10</v>
      </c>
      <c r="H618" s="9">
        <v>0.2</v>
      </c>
    </row>
    <row r="619" spans="1:8" ht="15.75" customHeight="1" x14ac:dyDescent="0.3">
      <c r="A619" s="6" t="s">
        <v>352</v>
      </c>
      <c r="B619" s="5" t="s">
        <v>353</v>
      </c>
      <c r="C619" s="5" t="s">
        <v>23</v>
      </c>
      <c r="D619" s="6" t="s">
        <v>24</v>
      </c>
      <c r="E619" s="5">
        <v>1</v>
      </c>
      <c r="F619" s="5">
        <v>0.111</v>
      </c>
      <c r="G619" s="5">
        <v>10</v>
      </c>
      <c r="H619" s="5">
        <v>3.7999999999999999E-2</v>
      </c>
    </row>
    <row r="620" spans="1:8" ht="15.75" customHeight="1" x14ac:dyDescent="0.3">
      <c r="A620" s="8" t="s">
        <v>352</v>
      </c>
      <c r="B620" s="20" t="s">
        <v>353</v>
      </c>
      <c r="C620" s="9" t="s">
        <v>20</v>
      </c>
      <c r="D620" s="8" t="s">
        <v>21</v>
      </c>
      <c r="E620" s="9">
        <v>1</v>
      </c>
      <c r="F620" s="9">
        <v>0.125</v>
      </c>
      <c r="G620" s="9">
        <v>10</v>
      </c>
      <c r="H620" s="9">
        <v>2.7E-2</v>
      </c>
    </row>
    <row r="621" spans="1:8" ht="15.75" customHeight="1" x14ac:dyDescent="0.3">
      <c r="A621" s="6" t="s">
        <v>352</v>
      </c>
      <c r="B621" s="5" t="s">
        <v>353</v>
      </c>
      <c r="C621" s="5" t="s">
        <v>80</v>
      </c>
      <c r="D621" s="6" t="s">
        <v>81</v>
      </c>
      <c r="E621" s="5">
        <v>1</v>
      </c>
      <c r="F621" s="5">
        <v>0.25</v>
      </c>
      <c r="G621" s="5">
        <v>10</v>
      </c>
      <c r="H621" s="5">
        <v>0.16700000000000001</v>
      </c>
    </row>
    <row r="622" spans="1:8" ht="15.75" customHeight="1" x14ac:dyDescent="0.3">
      <c r="A622" s="8" t="s">
        <v>352</v>
      </c>
      <c r="B622" s="20" t="s">
        <v>353</v>
      </c>
      <c r="C622" s="9" t="s">
        <v>82</v>
      </c>
      <c r="D622" s="8" t="s">
        <v>83</v>
      </c>
      <c r="E622" s="9">
        <v>1</v>
      </c>
      <c r="F622" s="9">
        <v>0.2</v>
      </c>
      <c r="G622" s="9">
        <v>10</v>
      </c>
      <c r="H622" s="9">
        <v>9.0999999999999998E-2</v>
      </c>
    </row>
  </sheetData>
  <mergeCells count="2">
    <mergeCell ref="A2:H2"/>
    <mergeCell ref="A3:H3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37A22"/>
  </sheetPr>
  <dimension ref="A1:E36"/>
  <sheetViews>
    <sheetView zoomScaleNormal="100" workbookViewId="0">
      <pane ySplit="4" topLeftCell="A15" activePane="bottomLeft" state="frozen"/>
      <selection pane="bottomLeft" activeCell="A30" sqref="A30"/>
    </sheetView>
  </sheetViews>
  <sheetFormatPr defaultColWidth="8.6640625" defaultRowHeight="15" customHeight="1" x14ac:dyDescent="0.3"/>
  <cols>
    <col min="1" max="1" width="18" customWidth="1"/>
    <col min="2" max="2" width="13" customWidth="1"/>
    <col min="3" max="3" width="16" customWidth="1"/>
    <col min="4" max="4" width="12" customWidth="1"/>
    <col min="5" max="5" width="20" customWidth="1"/>
  </cols>
  <sheetData>
    <row r="1" spans="1:5" ht="7.5" customHeight="1" x14ac:dyDescent="0.3"/>
    <row r="2" spans="1:5" ht="30" customHeight="1" x14ac:dyDescent="0.3">
      <c r="A2" s="40" t="s">
        <v>434</v>
      </c>
      <c r="B2" s="40"/>
      <c r="C2" s="40"/>
      <c r="D2" s="40"/>
      <c r="E2" s="40"/>
    </row>
    <row r="3" spans="1:5" ht="7.5" customHeight="1" x14ac:dyDescent="0.3"/>
    <row r="4" spans="1:5" ht="14.4" x14ac:dyDescent="0.3">
      <c r="A4" s="3" t="s">
        <v>4</v>
      </c>
      <c r="B4" s="3" t="s">
        <v>5</v>
      </c>
      <c r="C4" s="3" t="s">
        <v>435</v>
      </c>
      <c r="D4" s="3" t="s">
        <v>436</v>
      </c>
      <c r="E4" s="3" t="s">
        <v>437</v>
      </c>
    </row>
    <row r="5" spans="1:5" ht="18" customHeight="1" x14ac:dyDescent="0.3">
      <c r="A5" s="11" t="s">
        <v>13</v>
      </c>
      <c r="B5" s="12" t="s">
        <v>14</v>
      </c>
      <c r="C5" s="13">
        <f>COUNTA(Curation!D6:D15)</f>
        <v>10</v>
      </c>
      <c r="D5" s="12" t="str">
        <f t="shared" ref="D5:D34" si="0">IF(C5=10,"✓ Done","Pending")</f>
        <v>✓ Done</v>
      </c>
      <c r="E5" s="14" t="s">
        <v>438</v>
      </c>
    </row>
    <row r="6" spans="1:5" ht="18" customHeight="1" x14ac:dyDescent="0.3">
      <c r="A6" s="11" t="s">
        <v>39</v>
      </c>
      <c r="B6" s="12" t="s">
        <v>40</v>
      </c>
      <c r="C6" s="13">
        <f>COUNTA(Curation!D17:D26)</f>
        <v>10</v>
      </c>
      <c r="D6" s="12" t="str">
        <f t="shared" si="0"/>
        <v>✓ Done</v>
      </c>
      <c r="E6" s="14" t="s">
        <v>439</v>
      </c>
    </row>
    <row r="7" spans="1:5" ht="18" customHeight="1" x14ac:dyDescent="0.3">
      <c r="A7" s="11" t="s">
        <v>62</v>
      </c>
      <c r="B7" s="12" t="s">
        <v>63</v>
      </c>
      <c r="C7" s="13">
        <f>COUNTA(Curation!D28:D37)</f>
        <v>10</v>
      </c>
      <c r="D7" s="12" t="str">
        <f t="shared" si="0"/>
        <v>✓ Done</v>
      </c>
      <c r="E7" s="14" t="s">
        <v>440</v>
      </c>
    </row>
    <row r="8" spans="1:5" ht="18" customHeight="1" x14ac:dyDescent="0.3">
      <c r="A8" s="11" t="s">
        <v>84</v>
      </c>
      <c r="B8" s="12" t="s">
        <v>85</v>
      </c>
      <c r="C8" s="13">
        <f>COUNTA(Curation!D39:D48)</f>
        <v>10</v>
      </c>
      <c r="D8" s="12" t="str">
        <f t="shared" si="0"/>
        <v>✓ Done</v>
      </c>
      <c r="E8" s="14" t="s">
        <v>441</v>
      </c>
    </row>
    <row r="9" spans="1:5" ht="18" customHeight="1" x14ac:dyDescent="0.3">
      <c r="A9" s="11" t="s">
        <v>100</v>
      </c>
      <c r="B9" s="12" t="s">
        <v>101</v>
      </c>
      <c r="C9" s="13">
        <f>COUNTA(Curation!D50:D59)</f>
        <v>10</v>
      </c>
      <c r="D9" s="12" t="str">
        <f t="shared" si="0"/>
        <v>✓ Done</v>
      </c>
      <c r="E9" s="14" t="s">
        <v>442</v>
      </c>
    </row>
    <row r="10" spans="1:5" ht="18" customHeight="1" x14ac:dyDescent="0.3">
      <c r="A10" s="11" t="s">
        <v>114</v>
      </c>
      <c r="B10" s="12" t="s">
        <v>115</v>
      </c>
      <c r="C10" s="13">
        <f>COUNTA(Curation!D61:D70)</f>
        <v>10</v>
      </c>
      <c r="D10" s="12" t="str">
        <f t="shared" si="0"/>
        <v>✓ Done</v>
      </c>
      <c r="E10" s="14" t="s">
        <v>443</v>
      </c>
    </row>
    <row r="11" spans="1:5" ht="18" customHeight="1" x14ac:dyDescent="0.3">
      <c r="A11" s="11" t="s">
        <v>134</v>
      </c>
      <c r="B11" s="12" t="s">
        <v>135</v>
      </c>
      <c r="C11" s="13">
        <f>COUNTA(Curation!D72:D81)</f>
        <v>10</v>
      </c>
      <c r="D11" s="12" t="str">
        <f t="shared" si="0"/>
        <v>✓ Done</v>
      </c>
      <c r="E11" s="14" t="s">
        <v>444</v>
      </c>
    </row>
    <row r="12" spans="1:5" ht="18" customHeight="1" x14ac:dyDescent="0.3">
      <c r="A12" s="11" t="s">
        <v>146</v>
      </c>
      <c r="B12" s="12" t="s">
        <v>147</v>
      </c>
      <c r="C12" s="13">
        <f>COUNTA(Curation!D83:D92)</f>
        <v>10</v>
      </c>
      <c r="D12" s="12" t="str">
        <f t="shared" si="0"/>
        <v>✓ Done</v>
      </c>
      <c r="E12" s="14" t="s">
        <v>445</v>
      </c>
    </row>
    <row r="13" spans="1:5" ht="18" customHeight="1" x14ac:dyDescent="0.3">
      <c r="A13" s="11" t="s">
        <v>154</v>
      </c>
      <c r="B13" s="12" t="s">
        <v>155</v>
      </c>
      <c r="C13" s="13">
        <f>COUNTA(Curation!D94:D103)</f>
        <v>10</v>
      </c>
      <c r="D13" s="12" t="str">
        <f t="shared" si="0"/>
        <v>✓ Done</v>
      </c>
      <c r="E13" s="14" t="s">
        <v>446</v>
      </c>
    </row>
    <row r="14" spans="1:5" ht="18" customHeight="1" x14ac:dyDescent="0.3">
      <c r="A14" s="11" t="s">
        <v>172</v>
      </c>
      <c r="B14" s="12" t="s">
        <v>173</v>
      </c>
      <c r="C14" s="13">
        <f>COUNTA(Curation!D105:D114)</f>
        <v>10</v>
      </c>
      <c r="D14" s="12" t="str">
        <f t="shared" si="0"/>
        <v>✓ Done</v>
      </c>
      <c r="E14" s="14" t="s">
        <v>447</v>
      </c>
    </row>
    <row r="15" spans="1:5" ht="18" customHeight="1" x14ac:dyDescent="0.3">
      <c r="A15" s="11" t="s">
        <v>182</v>
      </c>
      <c r="B15" s="12" t="s">
        <v>183</v>
      </c>
      <c r="C15" s="13">
        <f>COUNTA(Curation!D117:D125)</f>
        <v>9</v>
      </c>
      <c r="D15" s="12" t="str">
        <f t="shared" si="0"/>
        <v>Pending</v>
      </c>
      <c r="E15" s="14" t="s">
        <v>448</v>
      </c>
    </row>
    <row r="16" spans="1:5" ht="18" customHeight="1" x14ac:dyDescent="0.3">
      <c r="A16" s="11" t="s">
        <v>196</v>
      </c>
      <c r="B16" s="12" t="s">
        <v>197</v>
      </c>
      <c r="C16" s="13">
        <f>COUNTA(Curation!D127:D136)</f>
        <v>10</v>
      </c>
      <c r="D16" s="12" t="str">
        <f t="shared" si="0"/>
        <v>✓ Done</v>
      </c>
      <c r="E16" s="14" t="s">
        <v>449</v>
      </c>
    </row>
    <row r="17" spans="1:5" ht="18" customHeight="1" x14ac:dyDescent="0.3">
      <c r="A17" s="11" t="s">
        <v>204</v>
      </c>
      <c r="B17" s="12" t="s">
        <v>205</v>
      </c>
      <c r="C17" s="13">
        <f>COUNTA(Curation!D138:D147)</f>
        <v>10</v>
      </c>
      <c r="D17" s="12" t="str">
        <f t="shared" si="0"/>
        <v>✓ Done</v>
      </c>
      <c r="E17" s="14" t="s">
        <v>450</v>
      </c>
    </row>
    <row r="18" spans="1:5" ht="18" customHeight="1" x14ac:dyDescent="0.3">
      <c r="A18" s="11" t="s">
        <v>214</v>
      </c>
      <c r="B18" s="12" t="s">
        <v>215</v>
      </c>
      <c r="C18" s="13">
        <f>COUNTA(Curation!D149:D158)</f>
        <v>10</v>
      </c>
      <c r="D18" s="12" t="str">
        <f t="shared" si="0"/>
        <v>✓ Done</v>
      </c>
      <c r="E18" s="14" t="s">
        <v>451</v>
      </c>
    </row>
    <row r="19" spans="1:5" ht="18" customHeight="1" x14ac:dyDescent="0.3">
      <c r="A19" s="11" t="s">
        <v>228</v>
      </c>
      <c r="B19" s="12" t="s">
        <v>229</v>
      </c>
      <c r="C19" s="13">
        <f>COUNTA(Curation!D160:D169)</f>
        <v>10</v>
      </c>
      <c r="D19" s="12" t="str">
        <f t="shared" si="0"/>
        <v>✓ Done</v>
      </c>
      <c r="E19" s="14" t="s">
        <v>452</v>
      </c>
    </row>
    <row r="20" spans="1:5" ht="18" customHeight="1" x14ac:dyDescent="0.3">
      <c r="A20" s="11" t="s">
        <v>236</v>
      </c>
      <c r="B20" s="12" t="s">
        <v>237</v>
      </c>
      <c r="C20" s="13">
        <f>COUNTA(Curation!D171:D180)</f>
        <v>9</v>
      </c>
      <c r="D20" s="12" t="str">
        <f t="shared" si="0"/>
        <v>Pending</v>
      </c>
      <c r="E20" s="14" t="s">
        <v>453</v>
      </c>
    </row>
    <row r="21" spans="1:5" ht="18" customHeight="1" x14ac:dyDescent="0.3">
      <c r="A21" s="11" t="s">
        <v>244</v>
      </c>
      <c r="B21" s="12" t="s">
        <v>245</v>
      </c>
      <c r="C21" s="13">
        <f>COUNTA(Curation!D182:D191)</f>
        <v>10</v>
      </c>
      <c r="D21" s="12" t="str">
        <f t="shared" si="0"/>
        <v>✓ Done</v>
      </c>
      <c r="E21" s="14" t="s">
        <v>454</v>
      </c>
    </row>
    <row r="22" spans="1:5" ht="18" customHeight="1" x14ac:dyDescent="0.3">
      <c r="A22" s="11" t="s">
        <v>246</v>
      </c>
      <c r="B22" s="12" t="s">
        <v>247</v>
      </c>
      <c r="C22" s="13">
        <f>COUNTA(Curation!D193:D202)</f>
        <v>10</v>
      </c>
      <c r="D22" s="12" t="str">
        <f t="shared" si="0"/>
        <v>✓ Done</v>
      </c>
      <c r="E22" s="14" t="s">
        <v>455</v>
      </c>
    </row>
    <row r="23" spans="1:5" ht="18" customHeight="1" x14ac:dyDescent="0.3">
      <c r="A23" s="11" t="s">
        <v>256</v>
      </c>
      <c r="B23" s="12" t="s">
        <v>257</v>
      </c>
      <c r="C23" s="13">
        <f>COUNTA(Curation!D204:D213)</f>
        <v>10</v>
      </c>
      <c r="D23" s="12" t="str">
        <f t="shared" si="0"/>
        <v>✓ Done</v>
      </c>
      <c r="E23" s="14" t="s">
        <v>456</v>
      </c>
    </row>
    <row r="24" spans="1:5" ht="18" customHeight="1" x14ac:dyDescent="0.3">
      <c r="A24" s="11" t="s">
        <v>273</v>
      </c>
      <c r="B24" s="12" t="s">
        <v>274</v>
      </c>
      <c r="C24" s="13">
        <f>COUNTA(Curation!D215:D224)</f>
        <v>10</v>
      </c>
      <c r="D24" s="12" t="str">
        <f t="shared" si="0"/>
        <v>✓ Done</v>
      </c>
      <c r="E24" s="14" t="s">
        <v>457</v>
      </c>
    </row>
    <row r="25" spans="1:5" ht="18" customHeight="1" x14ac:dyDescent="0.3">
      <c r="A25" s="26" t="s">
        <v>287</v>
      </c>
      <c r="B25" s="27" t="s">
        <v>288</v>
      </c>
      <c r="C25" s="28">
        <f>COUNTA(Curation!D226:D235)</f>
        <v>10</v>
      </c>
      <c r="D25" s="27" t="str">
        <f t="shared" si="0"/>
        <v>✓ Done</v>
      </c>
      <c r="E25" s="29" t="s">
        <v>458</v>
      </c>
    </row>
    <row r="26" spans="1:5" ht="18" customHeight="1" x14ac:dyDescent="0.3">
      <c r="A26" s="11" t="s">
        <v>297</v>
      </c>
      <c r="B26" s="12" t="s">
        <v>298</v>
      </c>
      <c r="C26" s="13">
        <f>COUNTA(Curation!D237:D246)</f>
        <v>10</v>
      </c>
      <c r="D26" s="12" t="str">
        <f t="shared" si="0"/>
        <v>✓ Done</v>
      </c>
      <c r="E26" s="14" t="s">
        <v>459</v>
      </c>
    </row>
    <row r="27" spans="1:5" ht="18" customHeight="1" x14ac:dyDescent="0.3">
      <c r="A27" s="11" t="s">
        <v>305</v>
      </c>
      <c r="B27" s="12" t="s">
        <v>306</v>
      </c>
      <c r="C27" s="13">
        <f>COUNTA(Curation!D248:D257)</f>
        <v>10</v>
      </c>
      <c r="D27" s="12" t="str">
        <f t="shared" si="0"/>
        <v>✓ Done</v>
      </c>
      <c r="E27" s="14" t="s">
        <v>460</v>
      </c>
    </row>
    <row r="28" spans="1:5" ht="18" customHeight="1" x14ac:dyDescent="0.3">
      <c r="A28" s="11" t="s">
        <v>313</v>
      </c>
      <c r="B28" s="12" t="s">
        <v>314</v>
      </c>
      <c r="C28" s="13">
        <f>COUNTA(Curation!D259:D268)</f>
        <v>10</v>
      </c>
      <c r="D28" s="12" t="str">
        <f t="shared" si="0"/>
        <v>✓ Done</v>
      </c>
      <c r="E28" s="14" t="s">
        <v>461</v>
      </c>
    </row>
    <row r="29" spans="1:5" ht="18" customHeight="1" x14ac:dyDescent="0.3">
      <c r="A29" s="11" t="s">
        <v>317</v>
      </c>
      <c r="B29" s="12" t="s">
        <v>318</v>
      </c>
      <c r="C29" s="13">
        <f>COUNTA(Curation!D270:D279)</f>
        <v>10</v>
      </c>
      <c r="D29" s="12" t="str">
        <f t="shared" si="0"/>
        <v>✓ Done</v>
      </c>
      <c r="E29" s="14" t="s">
        <v>462</v>
      </c>
    </row>
    <row r="30" spans="1:5" ht="18" customHeight="1" x14ac:dyDescent="0.3">
      <c r="A30" s="11" t="s">
        <v>327</v>
      </c>
      <c r="B30" s="12" t="s">
        <v>328</v>
      </c>
      <c r="C30" s="13">
        <f>COUNTA(Curation!D281:D290)</f>
        <v>10</v>
      </c>
      <c r="D30" s="12" t="str">
        <f t="shared" si="0"/>
        <v>✓ Done</v>
      </c>
      <c r="E30" s="14" t="s">
        <v>463</v>
      </c>
    </row>
    <row r="31" spans="1:5" ht="18" customHeight="1" x14ac:dyDescent="0.3">
      <c r="A31" s="11" t="s">
        <v>334</v>
      </c>
      <c r="B31" s="12" t="s">
        <v>335</v>
      </c>
      <c r="C31" s="13">
        <f>COUNTA(Curation!D292:D301)</f>
        <v>10</v>
      </c>
      <c r="D31" s="12" t="str">
        <f t="shared" si="0"/>
        <v>✓ Done</v>
      </c>
      <c r="E31" s="14" t="s">
        <v>464</v>
      </c>
    </row>
    <row r="32" spans="1:5" ht="18" customHeight="1" x14ac:dyDescent="0.3">
      <c r="A32" s="11" t="s">
        <v>340</v>
      </c>
      <c r="B32" s="12" t="s">
        <v>341</v>
      </c>
      <c r="C32" s="13">
        <f>COUNTA(Curation!D304:D312)</f>
        <v>9</v>
      </c>
      <c r="D32" s="12" t="str">
        <f t="shared" si="0"/>
        <v>Pending</v>
      </c>
      <c r="E32" s="14" t="s">
        <v>465</v>
      </c>
    </row>
    <row r="33" spans="1:5" ht="18" customHeight="1" x14ac:dyDescent="0.3">
      <c r="A33" s="11" t="s">
        <v>342</v>
      </c>
      <c r="B33" s="12" t="s">
        <v>343</v>
      </c>
      <c r="C33" s="13">
        <f>COUNTA(Curation!D314:D323)</f>
        <v>10</v>
      </c>
      <c r="D33" s="12" t="str">
        <f t="shared" si="0"/>
        <v>✓ Done</v>
      </c>
      <c r="E33" s="14" t="s">
        <v>466</v>
      </c>
    </row>
    <row r="34" spans="1:5" ht="18" customHeight="1" x14ac:dyDescent="0.3">
      <c r="A34" s="11" t="s">
        <v>352</v>
      </c>
      <c r="B34" s="12" t="s">
        <v>353</v>
      </c>
      <c r="C34" s="13">
        <f>COUNTA(Curation!D325:D334)</f>
        <v>10</v>
      </c>
      <c r="D34" s="12" t="str">
        <f t="shared" si="0"/>
        <v>✓ Done</v>
      </c>
      <c r="E34" s="14" t="s">
        <v>467</v>
      </c>
    </row>
    <row r="36" spans="1:5" ht="21.75" customHeight="1" x14ac:dyDescent="0.3">
      <c r="A36" s="15" t="s">
        <v>468</v>
      </c>
      <c r="C36" s="16">
        <f>COUNTIF(C5:C34,10)</f>
        <v>27</v>
      </c>
      <c r="D36" s="17" t="str">
        <f>CONCATENATE(C36," / 30")</f>
        <v>27 / 30</v>
      </c>
    </row>
  </sheetData>
  <mergeCells count="1">
    <mergeCell ref="A2:E2"/>
  </mergeCells>
  <conditionalFormatting sqref="A5:E34">
    <cfRule type="expression" dxfId="1" priority="2">
      <formula>$C5=10</formula>
    </cfRule>
    <cfRule type="expression" dxfId="0" priority="3">
      <formula>AND($C5&gt;0,$C5&lt;10)</formula>
    </cfRule>
  </conditionalFormatting>
  <hyperlinks>
    <hyperlink ref="E5" location="Curation!A6" display="Row 6–15" xr:uid="{00000000-0004-0000-0200-000000000000}"/>
    <hyperlink ref="E6" location="Curation!A17" display="Row 17–26" xr:uid="{00000000-0004-0000-0200-000001000000}"/>
    <hyperlink ref="E7" location="Curation!A28" display="Row 28–37" xr:uid="{00000000-0004-0000-0200-000002000000}"/>
    <hyperlink ref="E8" location="Curation!A39" display="Row 39–48" xr:uid="{00000000-0004-0000-0200-000003000000}"/>
    <hyperlink ref="E9" location="Curation!A50" display="Row 50–59" xr:uid="{00000000-0004-0000-0200-000004000000}"/>
    <hyperlink ref="E10" location="Curation!A61" display="Row 61–70" xr:uid="{00000000-0004-0000-0200-000005000000}"/>
    <hyperlink ref="E11" location="Curation!A72" display="Row 72–81" xr:uid="{00000000-0004-0000-0200-000006000000}"/>
    <hyperlink ref="E12" location="Curation!A83" display="Row 83–92" xr:uid="{00000000-0004-0000-0200-000007000000}"/>
    <hyperlink ref="E13" location="Curation!A94" display="Row 94–103" xr:uid="{00000000-0004-0000-0200-000008000000}"/>
    <hyperlink ref="E14" location="Curation!A105" display="Row 105–114" xr:uid="{00000000-0004-0000-0200-000009000000}"/>
    <hyperlink ref="E15" location="Curation!A116" display="Row 116–125" xr:uid="{00000000-0004-0000-0200-00000A000000}"/>
    <hyperlink ref="E16" location="Curation!A127" display="Row 127–136" xr:uid="{00000000-0004-0000-0200-00000B000000}"/>
    <hyperlink ref="E17" location="Curation!A138" display="Row 138–147" xr:uid="{00000000-0004-0000-0200-00000C000000}"/>
    <hyperlink ref="E18" location="Curation!A149" display="Row 149–158" xr:uid="{00000000-0004-0000-0200-00000D000000}"/>
    <hyperlink ref="E19" location="Curation!A160" display="Row 160–169" xr:uid="{00000000-0004-0000-0200-00000E000000}"/>
    <hyperlink ref="E20" location="Curation!A171" display="Row 171–180" xr:uid="{00000000-0004-0000-0200-00000F000000}"/>
    <hyperlink ref="E21" location="Curation!A182" display="Row 182–191" xr:uid="{00000000-0004-0000-0200-000010000000}"/>
    <hyperlink ref="E22" location="Curation!A193" display="Row 193–202" xr:uid="{00000000-0004-0000-0200-000011000000}"/>
    <hyperlink ref="E23" location="Curation!A204" display="Row 204–213" xr:uid="{00000000-0004-0000-0200-000012000000}"/>
    <hyperlink ref="E24" location="Curation!A215" display="Row 215–224" xr:uid="{00000000-0004-0000-0200-000013000000}"/>
    <hyperlink ref="E25" location="Curation!A226" display="Row 226–235" xr:uid="{00000000-0004-0000-0200-000014000000}"/>
    <hyperlink ref="E26" location="Curation!A237" display="Row 237–246" xr:uid="{00000000-0004-0000-0200-000015000000}"/>
    <hyperlink ref="E27" location="Curation!A248" display="Row 248–257" xr:uid="{00000000-0004-0000-0200-000016000000}"/>
    <hyperlink ref="E28" location="Curation!A259" display="Row 259–268" xr:uid="{00000000-0004-0000-0200-000017000000}"/>
    <hyperlink ref="E29" location="Curation!A270" display="Row 270–279" xr:uid="{00000000-0004-0000-0200-000018000000}"/>
    <hyperlink ref="E30" location="Curation!A281" display="Row 281–290" xr:uid="{00000000-0004-0000-0200-000019000000}"/>
    <hyperlink ref="E31" location="Curation!A292" display="Row 292–301" xr:uid="{00000000-0004-0000-0200-00001A000000}"/>
    <hyperlink ref="E32" location="Curation!A303" display="Row 303–312" xr:uid="{00000000-0004-0000-0200-00001B000000}"/>
    <hyperlink ref="E33" location="Curation!A314" display="Row 314–323" xr:uid="{00000000-0004-0000-0200-00001C000000}"/>
    <hyperlink ref="E34" location="Curation!A325" display="Row 325–334" xr:uid="{00000000-0004-0000-0200-00001D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1BEA-423B-4AA6-A42A-558E77EFD604}">
  <sheetPr>
    <tabColor theme="8" tint="0.39997558519241921"/>
  </sheetPr>
  <dimension ref="A1:AJ301"/>
  <sheetViews>
    <sheetView topLeftCell="A265" zoomScale="70" zoomScaleNormal="70" workbookViewId="0">
      <selection activeCell="B303" sqref="B303"/>
    </sheetView>
  </sheetViews>
  <sheetFormatPr defaultColWidth="8.88671875" defaultRowHeight="14.4" x14ac:dyDescent="0.3"/>
  <cols>
    <col min="1" max="1" width="10.44140625" bestFit="1" customWidth="1"/>
  </cols>
  <sheetData>
    <row r="1" spans="1:30" x14ac:dyDescent="0.3">
      <c r="A1" t="s">
        <v>4</v>
      </c>
      <c r="B1" t="s">
        <v>469</v>
      </c>
      <c r="C1" t="s">
        <v>470</v>
      </c>
      <c r="D1" t="s">
        <v>9</v>
      </c>
      <c r="F1" t="s">
        <v>471</v>
      </c>
      <c r="G1" t="s">
        <v>472</v>
      </c>
      <c r="H1" t="s">
        <v>473</v>
      </c>
      <c r="I1" t="s">
        <v>474</v>
      </c>
      <c r="J1" t="s">
        <v>475</v>
      </c>
      <c r="K1" t="s">
        <v>476</v>
      </c>
      <c r="L1" t="s">
        <v>477</v>
      </c>
      <c r="M1" t="s">
        <v>478</v>
      </c>
      <c r="N1" t="s">
        <v>479</v>
      </c>
      <c r="O1" t="s">
        <v>480</v>
      </c>
      <c r="P1" t="s">
        <v>481</v>
      </c>
      <c r="T1" t="s">
        <v>471</v>
      </c>
      <c r="U1" t="s">
        <v>472</v>
      </c>
      <c r="V1" t="s">
        <v>473</v>
      </c>
      <c r="W1" t="s">
        <v>474</v>
      </c>
      <c r="X1" t="s">
        <v>475</v>
      </c>
      <c r="Y1" t="s">
        <v>476</v>
      </c>
      <c r="Z1" t="s">
        <v>477</v>
      </c>
      <c r="AA1" t="s">
        <v>478</v>
      </c>
      <c r="AB1" t="s">
        <v>479</v>
      </c>
      <c r="AC1" t="s">
        <v>480</v>
      </c>
      <c r="AD1" t="s">
        <v>481</v>
      </c>
    </row>
    <row r="2" spans="1:30" x14ac:dyDescent="0.3">
      <c r="A2" t="str" cm="1">
        <f t="array" ref="A2">_xlfn.LET(_xlpm.n,ROWS(A$2:A2),_xlpm.block,QUOTIENT(_xlpm.n-1,10),_xlpm.conceptRow,6+_xlpm.block*11,IF(INDEX(Curation!$A:$A,_xlpm.conceptRow)="","",INDEX(Curation!$A:$A,_xlpm.conceptRow)))</f>
        <v>alma</v>
      </c>
      <c r="B2" t="s">
        <v>472</v>
      </c>
      <c r="C2" cm="1">
        <f t="array" ref="C2">_xlfn.LET(_xlpm.n,ROWS(C$2:C2),_xlpm.block,QUOTIENT(_xlpm.n-1,10),_xlpm.pos,MOD(_xlpm.n-1,10),_xlpm.conceptRow,6+_xlpm.block*11,_xlpm.srcRow,_xlpm.conceptRow+_xlpm.pos,IF(INDEX(Curation!$A:$A,_xlpm.conceptRow)="","",INDEX(Curation!$E:$E,_xlpm.srcRow)))</f>
        <v>6</v>
      </c>
      <c r="D2" cm="1">
        <f t="array" ref="D2">_xlfn.LET(_xlpm.n,ROWS(D$2:D2),_xlpm.block,QUOTIENT(_xlpm.n-1,10),_xlpm.pos,MOD(_xlpm.n-1,10),_xlpm.conceptRow,6+_xlpm.block*11,_xlpm.srcRow,_xlpm.conceptRow+_xlpm.pos,IF(INDEX(Curation!$A:$A,_xlpm.conceptRow)="","",INDEX(Curation!$F:$F,_xlpm.srcRow)))</f>
        <v>0.125</v>
      </c>
      <c r="F2" t="str" cm="1">
        <f t="array" ref="F2:F32">_xlfn._xlws.SORT(_xlfn.UNIQUE(Table2[Concept]))</f>
        <v>alma</v>
      </c>
      <c r="G2">
        <f>IFERROR(SUMIFS(Table2[Frequency],Table2[Concept],$F2,Table2[FeatureNo],G$1),"")</f>
        <v>6</v>
      </c>
      <c r="H2">
        <f>IFERROR(SUMIFS(Table2[Frequency],Table2[Concept],$F2,Table2[FeatureNo],H$1),"")</f>
        <v>2</v>
      </c>
      <c r="I2">
        <f>IFERROR(SUMIFS(Table2[Frequency],Table2[Concept],$F2,Table2[FeatureNo],I$1),"")</f>
        <v>15</v>
      </c>
      <c r="J2">
        <f>IFERROR(SUMIFS(Table2[Frequency],Table2[Concept],$F2,Table2[FeatureNo],J$1),"")</f>
        <v>13</v>
      </c>
      <c r="K2">
        <f>IFERROR(SUMIFS(Table2[Frequency],Table2[Concept],$F2,Table2[FeatureNo],K$1),"")</f>
        <v>12</v>
      </c>
      <c r="L2">
        <f>IFERROR(SUMIFS(Table2[Frequency],Table2[Concept],$F2,Table2[FeatureNo],L$1),"")</f>
        <v>2</v>
      </c>
      <c r="M2">
        <f>IFERROR(SUMIFS(Table2[Frequency],Table2[Concept],$F2,Table2[FeatureNo],M$1),"")</f>
        <v>2</v>
      </c>
      <c r="N2">
        <f>IFERROR(SUMIFS(Table2[Frequency],Table2[Concept],$F2,Table2[FeatureNo],N$1),"")</f>
        <v>2</v>
      </c>
      <c r="O2">
        <f>IFERROR(SUMIFS(Table2[Frequency],Table2[Concept],$F2,Table2[FeatureNo],O$1),"")</f>
        <v>11</v>
      </c>
      <c r="P2">
        <f>IFERROR(SUMIFS(Table2[Frequency],Table2[Concept],$F2,Table2[FeatureNo],P$1),"")</f>
        <v>7</v>
      </c>
      <c r="T2" t="str" cm="1">
        <f t="array" ref="T2:T32">_xlfn._xlws.SORT(_xlfn.UNIQUE(Table2[Concept]))</f>
        <v>alma</v>
      </c>
      <c r="U2">
        <f>IFERROR(SUMIFS(Table2[Distinct],Table2[Concept],$F2,Table2[FeatureNo],U$1),"")</f>
        <v>0.125</v>
      </c>
      <c r="V2">
        <f>IFERROR(SUMIFS(Table2[Distinct],Table2[Concept],$F2,Table2[FeatureNo],V$1),"")</f>
        <v>0.111</v>
      </c>
      <c r="W2">
        <f>IFERROR(SUMIFS(Table2[Distinct],Table2[Concept],$F2,Table2[FeatureNo],W$1),"")</f>
        <v>0.125</v>
      </c>
      <c r="X2">
        <f>IFERROR(SUMIFS(Table2[Distinct],Table2[Concept],$F2,Table2[FeatureNo],X$1),"")</f>
        <v>0.111</v>
      </c>
      <c r="Y2">
        <f>IFERROR(SUMIFS(Table2[Distinct],Table2[Concept],$F2,Table2[FeatureNo],Y$1),"")</f>
        <v>0.25</v>
      </c>
      <c r="Z2">
        <f>IFERROR(SUMIFS(Table2[Distinct],Table2[Concept],$F2,Table2[FeatureNo],Z$1),"")</f>
        <v>0.2</v>
      </c>
      <c r="AA2">
        <f>IFERROR(SUMIFS(Table2[Distinct],Table2[Concept],$F2,Table2[FeatureNo],AA$1),"")</f>
        <v>0.2</v>
      </c>
      <c r="AB2">
        <f>IFERROR(SUMIFS(Table2[Distinct],Table2[Concept],$F2,Table2[FeatureNo],AB$1),"")</f>
        <v>9.0999999999999998E-2</v>
      </c>
      <c r="AC2">
        <f>IFERROR(SUMIFS(Table2[Distinct],Table2[Concept],$F2,Table2[FeatureNo],AC$1),"")</f>
        <v>0.2</v>
      </c>
      <c r="AD2">
        <f>IFERROR(SUMIFS(Table2[Distinct],Table2[Concept],$F2,Table2[FeatureNo],AD$1),"")</f>
        <v>0.2</v>
      </c>
    </row>
    <row r="3" spans="1:30" x14ac:dyDescent="0.3">
      <c r="A3" t="str" cm="1">
        <f t="array" ref="A3">_xlfn.LET(_xlpm.n,ROWS(A$2:A3),_xlpm.block,QUOTIENT(_xlpm.n-1,10),_xlpm.conceptRow,6+_xlpm.block*11,IF(INDEX(Curation!$A:$A,_xlpm.conceptRow)="","",INDEX(Curation!$A:$A,_xlpm.conceptRow)))</f>
        <v>alma</v>
      </c>
      <c r="B3" t="s">
        <v>473</v>
      </c>
      <c r="C3" cm="1">
        <f t="array" ref="C3">_xlfn.LET(_xlpm.n,ROWS(C$2:C3),_xlpm.block,QUOTIENT(_xlpm.n-1,10),_xlpm.pos,MOD(_xlpm.n-1,10),_xlpm.conceptRow,6+_xlpm.block*11,_xlpm.srcRow,_xlpm.conceptRow+_xlpm.pos,IF(INDEX(Curation!$A:$A,_xlpm.conceptRow)="","",INDEX(Curation!$E:$E,_xlpm.srcRow)))</f>
        <v>2</v>
      </c>
      <c r="D3" cm="1">
        <f t="array" ref="D3">_xlfn.LET(_xlpm.n,ROWS(D$2:D3),_xlpm.block,QUOTIENT(_xlpm.n-1,10),_xlpm.pos,MOD(_xlpm.n-1,10),_xlpm.conceptRow,6+_xlpm.block*11,_xlpm.srcRow,_xlpm.conceptRow+_xlpm.pos,IF(INDEX(Curation!$A:$A,_xlpm.conceptRow)="","",INDEX(Curation!$F:$F,_xlpm.srcRow)))</f>
        <v>0.111</v>
      </c>
      <c r="F3" t="str">
        <v>asztal</v>
      </c>
      <c r="G3">
        <f>IFERROR(SUMIFS(Table2[Frequency],Table2[Concept],$F3,Table2[FeatureNo],G$1),"")</f>
        <v>9</v>
      </c>
      <c r="H3">
        <f>IFERROR(SUMIFS(Table2[Frequency],Table2[Concept],$F3,Table2[FeatureNo],H$1),"")</f>
        <v>12</v>
      </c>
      <c r="I3">
        <f>IFERROR(SUMIFS(Table2[Frequency],Table2[Concept],$F3,Table2[FeatureNo],I$1),"")</f>
        <v>3</v>
      </c>
      <c r="J3">
        <f>IFERROR(SUMIFS(Table2[Frequency],Table2[Concept],$F3,Table2[FeatureNo],J$1),"")</f>
        <v>11</v>
      </c>
      <c r="K3">
        <f>IFERROR(SUMIFS(Table2[Frequency],Table2[Concept],$F3,Table2[FeatureNo],K$1),"")</f>
        <v>5</v>
      </c>
      <c r="L3">
        <f>IFERROR(SUMIFS(Table2[Frequency],Table2[Concept],$F3,Table2[FeatureNo],L$1),"")</f>
        <v>7</v>
      </c>
      <c r="M3">
        <f>IFERROR(SUMIFS(Table2[Frequency],Table2[Concept],$F3,Table2[FeatureNo],M$1),"")</f>
        <v>5</v>
      </c>
      <c r="N3">
        <f>IFERROR(SUMIFS(Table2[Frequency],Table2[Concept],$F3,Table2[FeatureNo],N$1),"")</f>
        <v>3</v>
      </c>
      <c r="O3">
        <f>IFERROR(SUMIFS(Table2[Frequency],Table2[Concept],$F3,Table2[FeatureNo],O$1),"")</f>
        <v>2</v>
      </c>
      <c r="P3">
        <f>IFERROR(SUMIFS(Table2[Frequency],Table2[Concept],$F3,Table2[FeatureNo],P$1),"")</f>
        <v>11</v>
      </c>
      <c r="T3" t="str">
        <v>asztal</v>
      </c>
      <c r="U3">
        <f>IFERROR(SUMIFS(Table2[Distinct],Table2[Concept],$F3,Table2[FeatureNo],U$1),"")</f>
        <v>0.16700000000000001</v>
      </c>
      <c r="V3">
        <f>IFERROR(SUMIFS(Table2[Distinct],Table2[Concept],$F3,Table2[FeatureNo],V$1),"")</f>
        <v>0.33300000000000002</v>
      </c>
      <c r="W3">
        <f>IFERROR(SUMIFS(Table2[Distinct],Table2[Concept],$F3,Table2[FeatureNo],W$1),"")</f>
        <v>0.14299999999999999</v>
      </c>
      <c r="X3">
        <f>IFERROR(SUMIFS(Table2[Distinct],Table2[Concept],$F3,Table2[FeatureNo],X$1),"")</f>
        <v>0.33300000000000002</v>
      </c>
      <c r="Y3">
        <f>IFERROR(SUMIFS(Table2[Distinct],Table2[Concept],$F3,Table2[FeatureNo],Y$1),"")</f>
        <v>0.125</v>
      </c>
      <c r="Z3">
        <f>IFERROR(SUMIFS(Table2[Distinct],Table2[Concept],$F3,Table2[FeatureNo],Z$1),"")</f>
        <v>8.3000000000000004E-2</v>
      </c>
      <c r="AA3">
        <f>IFERROR(SUMIFS(Table2[Distinct],Table2[Concept],$F3,Table2[FeatureNo],AA$1),"")</f>
        <v>0.25</v>
      </c>
      <c r="AB3">
        <f>IFERROR(SUMIFS(Table2[Distinct],Table2[Concept],$F3,Table2[FeatureNo],AB$1),"")</f>
        <v>0.2</v>
      </c>
      <c r="AC3">
        <f>IFERROR(SUMIFS(Table2[Distinct],Table2[Concept],$F3,Table2[FeatureNo],AC$1),"")</f>
        <v>0.25</v>
      </c>
      <c r="AD3">
        <f>IFERROR(SUMIFS(Table2[Distinct],Table2[Concept],$F3,Table2[FeatureNo],AD$1),"")</f>
        <v>0.25</v>
      </c>
    </row>
    <row r="4" spans="1:30" x14ac:dyDescent="0.3">
      <c r="A4" t="str" cm="1">
        <f t="array" ref="A4">_xlfn.LET(_xlpm.n,ROWS(A$2:A4),_xlpm.block,QUOTIENT(_xlpm.n-1,10),_xlpm.conceptRow,6+_xlpm.block*11,IF(INDEX(Curation!$A:$A,_xlpm.conceptRow)="","",INDEX(Curation!$A:$A,_xlpm.conceptRow)))</f>
        <v>alma</v>
      </c>
      <c r="B4" t="s">
        <v>474</v>
      </c>
      <c r="C4" cm="1">
        <f t="array" ref="C4">_xlfn.LET(_xlpm.n,ROWS(C$2:C4),_xlpm.block,QUOTIENT(_xlpm.n-1,10),_xlpm.pos,MOD(_xlpm.n-1,10),_xlpm.conceptRow,6+_xlpm.block*11,_xlpm.srcRow,_xlpm.conceptRow+_xlpm.pos,IF(INDEX(Curation!$A:$A,_xlpm.conceptRow)="","",INDEX(Curation!$E:$E,_xlpm.srcRow)))</f>
        <v>15</v>
      </c>
      <c r="D4" cm="1">
        <f t="array" ref="D4">_xlfn.LET(_xlpm.n,ROWS(D$2:D4),_xlpm.block,QUOTIENT(_xlpm.n-1,10),_xlpm.pos,MOD(_xlpm.n-1,10),_xlpm.conceptRow,6+_xlpm.block*11,_xlpm.srcRow,_xlpm.conceptRow+_xlpm.pos,IF(INDEX(Curation!$A:$A,_xlpm.conceptRow)="","",INDEX(Curation!$F:$F,_xlpm.srcRow)))</f>
        <v>0.125</v>
      </c>
      <c r="F4" t="str">
        <v>autó</v>
      </c>
      <c r="G4">
        <f>IFERROR(SUMIFS(Table2[Frequency],Table2[Concept],$F4,Table2[FeatureNo],G$1),"")</f>
        <v>11</v>
      </c>
      <c r="H4">
        <f>IFERROR(SUMIFS(Table2[Frequency],Table2[Concept],$F4,Table2[FeatureNo],H$1),"")</f>
        <v>3</v>
      </c>
      <c r="I4">
        <f>IFERROR(SUMIFS(Table2[Frequency],Table2[Concept],$F4,Table2[FeatureNo],I$1),"")</f>
        <v>3</v>
      </c>
      <c r="J4">
        <f>IFERROR(SUMIFS(Table2[Frequency],Table2[Concept],$F4,Table2[FeatureNo],J$1),"")</f>
        <v>10</v>
      </c>
      <c r="K4">
        <f>IFERROR(SUMIFS(Table2[Frequency],Table2[Concept],$F4,Table2[FeatureNo],K$1),"")</f>
        <v>6</v>
      </c>
      <c r="L4">
        <f>IFERROR(SUMIFS(Table2[Frequency],Table2[Concept],$F4,Table2[FeatureNo],L$1),"")</f>
        <v>5</v>
      </c>
      <c r="M4">
        <f>IFERROR(SUMIFS(Table2[Frequency],Table2[Concept],$F4,Table2[FeatureNo],M$1),"")</f>
        <v>2</v>
      </c>
      <c r="N4">
        <f>IFERROR(SUMIFS(Table2[Frequency],Table2[Concept],$F4,Table2[FeatureNo],N$1),"")</f>
        <v>1</v>
      </c>
      <c r="O4">
        <f>IFERROR(SUMIFS(Table2[Frequency],Table2[Concept],$F4,Table2[FeatureNo],O$1),"")</f>
        <v>2</v>
      </c>
      <c r="P4">
        <f>IFERROR(SUMIFS(Table2[Frequency],Table2[Concept],$F4,Table2[FeatureNo],P$1),"")</f>
        <v>5</v>
      </c>
      <c r="T4" t="str">
        <v>autó</v>
      </c>
      <c r="U4">
        <f>IFERROR(SUMIFS(Table2[Distinct],Table2[Concept],$F4,Table2[FeatureNo],U$1),"")</f>
        <v>0.33300000000000002</v>
      </c>
      <c r="V4">
        <f>IFERROR(SUMIFS(Table2[Distinct],Table2[Concept],$F4,Table2[FeatureNo],V$1),"")</f>
        <v>0.33300000000000002</v>
      </c>
      <c r="W4">
        <f>IFERROR(SUMIFS(Table2[Distinct],Table2[Concept],$F4,Table2[FeatureNo],W$1),"")</f>
        <v>0.14299999999999999</v>
      </c>
      <c r="X4">
        <f>IFERROR(SUMIFS(Table2[Distinct],Table2[Concept],$F4,Table2[FeatureNo],X$1),"")</f>
        <v>0.2</v>
      </c>
      <c r="Y4">
        <f>IFERROR(SUMIFS(Table2[Distinct],Table2[Concept],$F4,Table2[FeatureNo],Y$1),"")</f>
        <v>0.33300000000000002</v>
      </c>
      <c r="Z4">
        <f>IFERROR(SUMIFS(Table2[Distinct],Table2[Concept],$F4,Table2[FeatureNo],Z$1),"")</f>
        <v>0.2</v>
      </c>
      <c r="AA4">
        <f>IFERROR(SUMIFS(Table2[Distinct],Table2[Concept],$F4,Table2[FeatureNo],AA$1),"")</f>
        <v>0.25</v>
      </c>
      <c r="AB4">
        <f>IFERROR(SUMIFS(Table2[Distinct],Table2[Concept],$F4,Table2[FeatureNo],AB$1),"")</f>
        <v>0.05</v>
      </c>
      <c r="AC4">
        <f>IFERROR(SUMIFS(Table2[Distinct],Table2[Concept],$F4,Table2[FeatureNo],AC$1),"")</f>
        <v>0.25</v>
      </c>
      <c r="AD4">
        <f>IFERROR(SUMIFS(Table2[Distinct],Table2[Concept],$F4,Table2[FeatureNo],AD$1),"")</f>
        <v>0.2</v>
      </c>
    </row>
    <row r="5" spans="1:30" x14ac:dyDescent="0.3">
      <c r="A5" t="str" cm="1">
        <f t="array" ref="A5">_xlfn.LET(_xlpm.n,ROWS(A$2:A5),_xlpm.block,QUOTIENT(_xlpm.n-1,10),_xlpm.conceptRow,6+_xlpm.block*11,IF(INDEX(Curation!$A:$A,_xlpm.conceptRow)="","",INDEX(Curation!$A:$A,_xlpm.conceptRow)))</f>
        <v>alma</v>
      </c>
      <c r="B5" t="s">
        <v>475</v>
      </c>
      <c r="C5" cm="1">
        <f t="array" ref="C5">_xlfn.LET(_xlpm.n,ROWS(C$2:C5),_xlpm.block,QUOTIENT(_xlpm.n-1,10),_xlpm.pos,MOD(_xlpm.n-1,10),_xlpm.conceptRow,6+_xlpm.block*11,_xlpm.srcRow,_xlpm.conceptRow+_xlpm.pos,IF(INDEX(Curation!$A:$A,_xlpm.conceptRow)="","",INDEX(Curation!$E:$E,_xlpm.srcRow)))</f>
        <v>13</v>
      </c>
      <c r="D5" cm="1">
        <f t="array" ref="D5">_xlfn.LET(_xlpm.n,ROWS(D$2:D5),_xlpm.block,QUOTIENT(_xlpm.n-1,10),_xlpm.pos,MOD(_xlpm.n-1,10),_xlpm.conceptRow,6+_xlpm.block*11,_xlpm.srcRow,_xlpm.conceptRow+_xlpm.pos,IF(INDEX(Curation!$A:$A,_xlpm.conceptRow)="","",INDEX(Curation!$F:$F,_xlpm.srcRow)))</f>
        <v>0.111</v>
      </c>
      <c r="F5" t="str">
        <v>bab</v>
      </c>
      <c r="G5">
        <f>IFERROR(SUMIFS(Table2[Frequency],Table2[Concept],$F5,Table2[FeatureNo],G$1),"")</f>
        <v>11</v>
      </c>
      <c r="H5">
        <f>IFERROR(SUMIFS(Table2[Frequency],Table2[Concept],$F5,Table2[FeatureNo],H$1),"")</f>
        <v>2</v>
      </c>
      <c r="I5">
        <f>IFERROR(SUMIFS(Table2[Frequency],Table2[Concept],$F5,Table2[FeatureNo],I$1),"")</f>
        <v>5</v>
      </c>
      <c r="J5">
        <f>IFERROR(SUMIFS(Table2[Frequency],Table2[Concept],$F5,Table2[FeatureNo],J$1),"")</f>
        <v>11</v>
      </c>
      <c r="K5">
        <f>IFERROR(SUMIFS(Table2[Frequency],Table2[Concept],$F5,Table2[FeatureNo],K$1),"")</f>
        <v>2</v>
      </c>
      <c r="L5">
        <f>IFERROR(SUMIFS(Table2[Frequency],Table2[Concept],$F5,Table2[FeatureNo],L$1),"")</f>
        <v>2</v>
      </c>
      <c r="M5">
        <f>IFERROR(SUMIFS(Table2[Frequency],Table2[Concept],$F5,Table2[FeatureNo],M$1),"")</f>
        <v>3</v>
      </c>
      <c r="N5">
        <f>IFERROR(SUMIFS(Table2[Frequency],Table2[Concept],$F5,Table2[FeatureNo],N$1),"")</f>
        <v>4</v>
      </c>
      <c r="O5">
        <f>IFERROR(SUMIFS(Table2[Frequency],Table2[Concept],$F5,Table2[FeatureNo],O$1),"")</f>
        <v>3</v>
      </c>
      <c r="P5">
        <f>IFERROR(SUMIFS(Table2[Frequency],Table2[Concept],$F5,Table2[FeatureNo],P$1),"")</f>
        <v>1</v>
      </c>
      <c r="T5" t="str">
        <v>bab</v>
      </c>
      <c r="U5">
        <f>IFERROR(SUMIFS(Table2[Distinct],Table2[Concept],$F5,Table2[FeatureNo],U$1),"")</f>
        <v>0.125</v>
      </c>
      <c r="V5">
        <f>IFERROR(SUMIFS(Table2[Distinct],Table2[Concept],$F5,Table2[FeatureNo],V$1),"")</f>
        <v>0.25</v>
      </c>
      <c r="W5">
        <f>IFERROR(SUMIFS(Table2[Distinct],Table2[Concept],$F5,Table2[FeatureNo],W$1),"")</f>
        <v>0.1</v>
      </c>
      <c r="X5">
        <f>IFERROR(SUMIFS(Table2[Distinct],Table2[Concept],$F5,Table2[FeatureNo],X$1),"")</f>
        <v>9.0999999999999998E-2</v>
      </c>
      <c r="Y5">
        <f>IFERROR(SUMIFS(Table2[Distinct],Table2[Concept],$F5,Table2[FeatureNo],Y$1),"")</f>
        <v>0.2</v>
      </c>
      <c r="Z5">
        <f>IFERROR(SUMIFS(Table2[Distinct],Table2[Concept],$F5,Table2[FeatureNo],Z$1),"")</f>
        <v>0.111</v>
      </c>
      <c r="AA5">
        <f>IFERROR(SUMIFS(Table2[Distinct],Table2[Concept],$F5,Table2[FeatureNo],AA$1),"")</f>
        <v>9.0999999999999998E-2</v>
      </c>
      <c r="AB5">
        <f>IFERROR(SUMIFS(Table2[Distinct],Table2[Concept],$F5,Table2[FeatureNo],AB$1),"")</f>
        <v>0.1</v>
      </c>
      <c r="AC5">
        <f>IFERROR(SUMIFS(Table2[Distinct],Table2[Concept],$F5,Table2[FeatureNo],AC$1),"")</f>
        <v>0.2</v>
      </c>
      <c r="AD5">
        <f>IFERROR(SUMIFS(Table2[Distinct],Table2[Concept],$F5,Table2[FeatureNo],AD$1),"")</f>
        <v>0.33300000000000002</v>
      </c>
    </row>
    <row r="6" spans="1:30" x14ac:dyDescent="0.3">
      <c r="A6" t="str" cm="1">
        <f t="array" ref="A6">_xlfn.LET(_xlpm.n,ROWS(A$2:A6),_xlpm.block,QUOTIENT(_xlpm.n-1,10),_xlpm.conceptRow,6+_xlpm.block*11,IF(INDEX(Curation!$A:$A,_xlpm.conceptRow)="","",INDEX(Curation!$A:$A,_xlpm.conceptRow)))</f>
        <v>alma</v>
      </c>
      <c r="B6" t="s">
        <v>476</v>
      </c>
      <c r="C6" cm="1">
        <f t="array" ref="C6">_xlfn.LET(_xlpm.n,ROWS(C$2:C6),_xlpm.block,QUOTIENT(_xlpm.n-1,10),_xlpm.pos,MOD(_xlpm.n-1,10),_xlpm.conceptRow,6+_xlpm.block*11,_xlpm.srcRow,_xlpm.conceptRow+_xlpm.pos,IF(INDEX(Curation!$A:$A,_xlpm.conceptRow)="","",INDEX(Curation!$E:$E,_xlpm.srcRow)))</f>
        <v>12</v>
      </c>
      <c r="D6" cm="1">
        <f t="array" ref="D6">_xlfn.LET(_xlpm.n,ROWS(D$2:D6),_xlpm.block,QUOTIENT(_xlpm.n-1,10),_xlpm.pos,MOD(_xlpm.n-1,10),_xlpm.conceptRow,6+_xlpm.block*11,_xlpm.srcRow,_xlpm.conceptRow+_xlpm.pos,IF(INDEX(Curation!$A:$A,_xlpm.conceptRow)="","",INDEX(Curation!$F:$F,_xlpm.srcRow)))</f>
        <v>0.25</v>
      </c>
      <c r="F6" t="str">
        <v>ceruza</v>
      </c>
      <c r="G6">
        <f>IFERROR(SUMIFS(Table2[Frequency],Table2[Concept],$F6,Table2[FeatureNo],G$1),"")</f>
        <v>6</v>
      </c>
      <c r="H6">
        <f>IFERROR(SUMIFS(Table2[Frequency],Table2[Concept],$F6,Table2[FeatureNo],H$1),"")</f>
        <v>5</v>
      </c>
      <c r="I6">
        <f>IFERROR(SUMIFS(Table2[Frequency],Table2[Concept],$F6,Table2[FeatureNo],I$1),"")</f>
        <v>7</v>
      </c>
      <c r="J6">
        <f>IFERROR(SUMIFS(Table2[Frequency],Table2[Concept],$F6,Table2[FeatureNo],J$1),"")</f>
        <v>4</v>
      </c>
      <c r="K6">
        <f>IFERROR(SUMIFS(Table2[Frequency],Table2[Concept],$F6,Table2[FeatureNo],K$1),"")</f>
        <v>1</v>
      </c>
      <c r="L6">
        <f>IFERROR(SUMIFS(Table2[Frequency],Table2[Concept],$F6,Table2[FeatureNo],L$1),"")</f>
        <v>1</v>
      </c>
      <c r="M6">
        <f>IFERROR(SUMIFS(Table2[Frequency],Table2[Concept],$F6,Table2[FeatureNo],M$1),"")</f>
        <v>2</v>
      </c>
      <c r="N6">
        <f>IFERROR(SUMIFS(Table2[Frequency],Table2[Concept],$F6,Table2[FeatureNo],N$1),"")</f>
        <v>4</v>
      </c>
      <c r="O6">
        <f>IFERROR(SUMIFS(Table2[Frequency],Table2[Concept],$F6,Table2[FeatureNo],O$1),"")</f>
        <v>14</v>
      </c>
      <c r="P6">
        <f>IFERROR(SUMIFS(Table2[Frequency],Table2[Concept],$F6,Table2[FeatureNo],P$1),"")</f>
        <v>2</v>
      </c>
      <c r="T6" t="str">
        <v>ceruza</v>
      </c>
      <c r="U6">
        <f>IFERROR(SUMIFS(Table2[Distinct],Table2[Concept],$F6,Table2[FeatureNo],U$1),"")</f>
        <v>0.33300000000000002</v>
      </c>
      <c r="V6">
        <f>IFERROR(SUMIFS(Table2[Distinct],Table2[Concept],$F6,Table2[FeatureNo],V$1),"")</f>
        <v>0.33300000000000002</v>
      </c>
      <c r="W6">
        <f>IFERROR(SUMIFS(Table2[Distinct],Table2[Concept],$F6,Table2[FeatureNo],W$1),"")</f>
        <v>0.2</v>
      </c>
      <c r="X6">
        <f>IFERROR(SUMIFS(Table2[Distinct],Table2[Concept],$F6,Table2[FeatureNo],X$1),"")</f>
        <v>0.16700000000000001</v>
      </c>
      <c r="Y6">
        <f>IFERROR(SUMIFS(Table2[Distinct],Table2[Concept],$F6,Table2[FeatureNo],Y$1),"")</f>
        <v>0.14299999999999999</v>
      </c>
      <c r="Z6">
        <f>IFERROR(SUMIFS(Table2[Distinct],Table2[Concept],$F6,Table2[FeatureNo],Z$1),"")</f>
        <v>0.33300000000000002</v>
      </c>
      <c r="AA6">
        <f>IFERROR(SUMIFS(Table2[Distinct],Table2[Concept],$F6,Table2[FeatureNo],AA$1),"")</f>
        <v>0.125</v>
      </c>
      <c r="AB6">
        <f>IFERROR(SUMIFS(Table2[Distinct],Table2[Concept],$F6,Table2[FeatureNo],AB$1),"")</f>
        <v>0.14299999999999999</v>
      </c>
      <c r="AC6">
        <f>IFERROR(SUMIFS(Table2[Distinct],Table2[Concept],$F6,Table2[FeatureNo],AC$1),"")</f>
        <v>0.2</v>
      </c>
      <c r="AD6">
        <f>IFERROR(SUMIFS(Table2[Distinct],Table2[Concept],$F6,Table2[FeatureNo],AD$1),"")</f>
        <v>0.1</v>
      </c>
    </row>
    <row r="7" spans="1:30" x14ac:dyDescent="0.3">
      <c r="A7" t="str" cm="1">
        <f t="array" ref="A7">_xlfn.LET(_xlpm.n,ROWS(A$2:A7),_xlpm.block,QUOTIENT(_xlpm.n-1,10),_xlpm.conceptRow,6+_xlpm.block*11,IF(INDEX(Curation!$A:$A,_xlpm.conceptRow)="","",INDEX(Curation!$A:$A,_xlpm.conceptRow)))</f>
        <v>alma</v>
      </c>
      <c r="B7" t="s">
        <v>477</v>
      </c>
      <c r="C7" cm="1">
        <f t="array" ref="C7">_xlfn.LET(_xlpm.n,ROWS(C$2:C7),_xlpm.block,QUOTIENT(_xlpm.n-1,10),_xlpm.pos,MOD(_xlpm.n-1,10),_xlpm.conceptRow,6+_xlpm.block*11,_xlpm.srcRow,_xlpm.conceptRow+_xlpm.pos,IF(INDEX(Curation!$A:$A,_xlpm.conceptRow)="","",INDEX(Curation!$E:$E,_xlpm.srcRow)))</f>
        <v>2</v>
      </c>
      <c r="D7" cm="1">
        <f t="array" ref="D7">_xlfn.LET(_xlpm.n,ROWS(D$2:D7),_xlpm.block,QUOTIENT(_xlpm.n-1,10),_xlpm.pos,MOD(_xlpm.n-1,10),_xlpm.conceptRow,6+_xlpm.block*11,_xlpm.srcRow,_xlpm.conceptRow+_xlpm.pos,IF(INDEX(Curation!$A:$A,_xlpm.conceptRow)="","",INDEX(Curation!$F:$F,_xlpm.srcRow)))</f>
        <v>0.2</v>
      </c>
      <c r="F7" t="str">
        <v>cipő</v>
      </c>
      <c r="G7">
        <f>IFERROR(SUMIFS(Table2[Frequency],Table2[Concept],$F7,Table2[FeatureNo],G$1),"")</f>
        <v>15</v>
      </c>
      <c r="H7">
        <f>IFERROR(SUMIFS(Table2[Frequency],Table2[Concept],$F7,Table2[FeatureNo],H$1),"")</f>
        <v>3</v>
      </c>
      <c r="I7">
        <f>IFERROR(SUMIFS(Table2[Frequency],Table2[Concept],$F7,Table2[FeatureNo],I$1),"")</f>
        <v>5</v>
      </c>
      <c r="J7">
        <f>IFERROR(SUMIFS(Table2[Frequency],Table2[Concept],$F7,Table2[FeatureNo],J$1),"")</f>
        <v>4</v>
      </c>
      <c r="K7">
        <f>IFERROR(SUMIFS(Table2[Frequency],Table2[Concept],$F7,Table2[FeatureNo],K$1),"")</f>
        <v>1</v>
      </c>
      <c r="L7">
        <f>IFERROR(SUMIFS(Table2[Frequency],Table2[Concept],$F7,Table2[FeatureNo],L$1),"")</f>
        <v>2</v>
      </c>
      <c r="M7">
        <f>IFERROR(SUMIFS(Table2[Frequency],Table2[Concept],$F7,Table2[FeatureNo],M$1),"")</f>
        <v>4</v>
      </c>
      <c r="N7">
        <f>IFERROR(SUMIFS(Table2[Frequency],Table2[Concept],$F7,Table2[FeatureNo],N$1),"")</f>
        <v>1</v>
      </c>
      <c r="O7">
        <f>IFERROR(SUMIFS(Table2[Frequency],Table2[Concept],$F7,Table2[FeatureNo],O$1),"")</f>
        <v>5</v>
      </c>
      <c r="P7">
        <f>IFERROR(SUMIFS(Table2[Frequency],Table2[Concept],$F7,Table2[FeatureNo],P$1),"")</f>
        <v>14</v>
      </c>
      <c r="T7" t="str">
        <v>cipő</v>
      </c>
      <c r="U7">
        <f>IFERROR(SUMIFS(Table2[Distinct],Table2[Concept],$F7,Table2[FeatureNo],U$1),"")</f>
        <v>0.14299999999999999</v>
      </c>
      <c r="V7">
        <f>IFERROR(SUMIFS(Table2[Distinct],Table2[Concept],$F7,Table2[FeatureNo],V$1),"")</f>
        <v>0.125</v>
      </c>
      <c r="W7">
        <f>IFERROR(SUMIFS(Table2[Distinct],Table2[Concept],$F7,Table2[FeatureNo],W$1),"")</f>
        <v>0.33300000000000002</v>
      </c>
      <c r="X7">
        <f>IFERROR(SUMIFS(Table2[Distinct],Table2[Concept],$F7,Table2[FeatureNo],X$1),"")</f>
        <v>0.16700000000000001</v>
      </c>
      <c r="Y7">
        <f>IFERROR(SUMIFS(Table2[Distinct],Table2[Concept],$F7,Table2[FeatureNo],Y$1),"")</f>
        <v>0.33300000000000002</v>
      </c>
      <c r="Z7">
        <f>IFERROR(SUMIFS(Table2[Distinct],Table2[Concept],$F7,Table2[FeatureNo],Z$1),"")</f>
        <v>0.25</v>
      </c>
      <c r="AA7">
        <f>IFERROR(SUMIFS(Table2[Distinct],Table2[Concept],$F7,Table2[FeatureNo],AA$1),"")</f>
        <v>0.111</v>
      </c>
      <c r="AB7">
        <f>IFERROR(SUMIFS(Table2[Distinct],Table2[Concept],$F7,Table2[FeatureNo],AB$1),"")</f>
        <v>0.33300000000000002</v>
      </c>
      <c r="AC7">
        <f>IFERROR(SUMIFS(Table2[Distinct],Table2[Concept],$F7,Table2[FeatureNo],AC$1),"")</f>
        <v>0.2</v>
      </c>
      <c r="AD7">
        <f>IFERROR(SUMIFS(Table2[Distinct],Table2[Concept],$F7,Table2[FeatureNo],AD$1),"")</f>
        <v>0.25</v>
      </c>
    </row>
    <row r="8" spans="1:30" x14ac:dyDescent="0.3">
      <c r="A8" t="str" cm="1">
        <f t="array" ref="A8">_xlfn.LET(_xlpm.n,ROWS(A$2:A8),_xlpm.block,QUOTIENT(_xlpm.n-1,10),_xlpm.conceptRow,6+_xlpm.block*11,IF(INDEX(Curation!$A:$A,_xlpm.conceptRow)="","",INDEX(Curation!$A:$A,_xlpm.conceptRow)))</f>
        <v>alma</v>
      </c>
      <c r="B8" t="s">
        <v>478</v>
      </c>
      <c r="C8" cm="1">
        <f t="array" ref="C8">_xlfn.LET(_xlpm.n,ROWS(C$2:C8),_xlpm.block,QUOTIENT(_xlpm.n-1,10),_xlpm.pos,MOD(_xlpm.n-1,10),_xlpm.conceptRow,6+_xlpm.block*11,_xlpm.srcRow,_xlpm.conceptRow+_xlpm.pos,IF(INDEX(Curation!$A:$A,_xlpm.conceptRow)="","",INDEX(Curation!$E:$E,_xlpm.srcRow)))</f>
        <v>2</v>
      </c>
      <c r="D8" cm="1">
        <f t="array" ref="D8">_xlfn.LET(_xlpm.n,ROWS(D$2:D8),_xlpm.block,QUOTIENT(_xlpm.n-1,10),_xlpm.pos,MOD(_xlpm.n-1,10),_xlpm.conceptRow,6+_xlpm.block*11,_xlpm.srcRow,_xlpm.conceptRow+_xlpm.pos,IF(INDEX(Curation!$A:$A,_xlpm.conceptRow)="","",INDEX(Curation!$F:$F,_xlpm.srcRow)))</f>
        <v>0.2</v>
      </c>
      <c r="F8" t="str">
        <v>citrom</v>
      </c>
      <c r="G8">
        <f>IFERROR(SUMIFS(Table2[Frequency],Table2[Concept],$F8,Table2[FeatureNo],G$1),"")</f>
        <v>16</v>
      </c>
      <c r="H8">
        <f>IFERROR(SUMIFS(Table2[Frequency],Table2[Concept],$F8,Table2[FeatureNo],H$1),"")</f>
        <v>7</v>
      </c>
      <c r="I8">
        <f>IFERROR(SUMIFS(Table2[Frequency],Table2[Concept],$F8,Table2[FeatureNo],I$1),"")</f>
        <v>16</v>
      </c>
      <c r="J8">
        <f>IFERROR(SUMIFS(Table2[Frequency],Table2[Concept],$F8,Table2[FeatureNo],J$1),"")</f>
        <v>17</v>
      </c>
      <c r="K8">
        <f>IFERROR(SUMIFS(Table2[Frequency],Table2[Concept],$F8,Table2[FeatureNo],K$1),"")</f>
        <v>5</v>
      </c>
      <c r="L8">
        <f>IFERROR(SUMIFS(Table2[Frequency],Table2[Concept],$F8,Table2[FeatureNo],L$1),"")</f>
        <v>2</v>
      </c>
      <c r="M8">
        <f>IFERROR(SUMIFS(Table2[Frequency],Table2[Concept],$F8,Table2[FeatureNo],M$1),"")</f>
        <v>2</v>
      </c>
      <c r="N8">
        <f>IFERROR(SUMIFS(Table2[Frequency],Table2[Concept],$F8,Table2[FeatureNo],N$1),"")</f>
        <v>3</v>
      </c>
      <c r="O8">
        <f>IFERROR(SUMIFS(Table2[Frequency],Table2[Concept],$F8,Table2[FeatureNo],O$1),"")</f>
        <v>1</v>
      </c>
      <c r="P8">
        <f>IFERROR(SUMIFS(Table2[Frequency],Table2[Concept],$F8,Table2[FeatureNo],P$1),"")</f>
        <v>2</v>
      </c>
      <c r="T8" t="str">
        <v>citrom</v>
      </c>
      <c r="U8">
        <f>IFERROR(SUMIFS(Table2[Distinct],Table2[Concept],$F8,Table2[FeatureNo],U$1),"")</f>
        <v>0.25</v>
      </c>
      <c r="V8">
        <f>IFERROR(SUMIFS(Table2[Distinct],Table2[Concept],$F8,Table2[FeatureNo],V$1),"")</f>
        <v>0.125</v>
      </c>
      <c r="W8">
        <f>IFERROR(SUMIFS(Table2[Distinct],Table2[Concept],$F8,Table2[FeatureNo],W$1),"")</f>
        <v>0.16700000000000001</v>
      </c>
      <c r="X8">
        <f>IFERROR(SUMIFS(Table2[Distinct],Table2[Concept],$F8,Table2[FeatureNo],X$1),"")</f>
        <v>0.33300000000000002</v>
      </c>
      <c r="Y8">
        <f>IFERROR(SUMIFS(Table2[Distinct],Table2[Concept],$F8,Table2[FeatureNo],Y$1),"")</f>
        <v>0.33300000000000002</v>
      </c>
      <c r="Z8">
        <f>IFERROR(SUMIFS(Table2[Distinct],Table2[Concept],$F8,Table2[FeatureNo],Z$1),"")</f>
        <v>0.33300000000000002</v>
      </c>
      <c r="AA8">
        <f>IFERROR(SUMIFS(Table2[Distinct],Table2[Concept],$F8,Table2[FeatureNo],AA$1),"")</f>
        <v>0.2</v>
      </c>
      <c r="AB8">
        <f>IFERROR(SUMIFS(Table2[Distinct],Table2[Concept],$F8,Table2[FeatureNo],AB$1),"")</f>
        <v>0.2</v>
      </c>
      <c r="AC8">
        <f>IFERROR(SUMIFS(Table2[Distinct],Table2[Concept],$F8,Table2[FeatureNo],AC$1),"")</f>
        <v>0.2</v>
      </c>
      <c r="AD8">
        <f>IFERROR(SUMIFS(Table2[Distinct],Table2[Concept],$F8,Table2[FeatureNo],AD$1),"")</f>
        <v>0.2</v>
      </c>
    </row>
    <row r="9" spans="1:30" x14ac:dyDescent="0.3">
      <c r="A9" t="str" cm="1">
        <f t="array" ref="A9">_xlfn.LET(_xlpm.n,ROWS(A$2:A9),_xlpm.block,QUOTIENT(_xlpm.n-1,10),_xlpm.conceptRow,6+_xlpm.block*11,IF(INDEX(Curation!$A:$A,_xlpm.conceptRow)="","",INDEX(Curation!$A:$A,_xlpm.conceptRow)))</f>
        <v>alma</v>
      </c>
      <c r="B9" t="s">
        <v>479</v>
      </c>
      <c r="C9" cm="1">
        <f t="array" ref="C9">_xlfn.LET(_xlpm.n,ROWS(C$2:C9),_xlpm.block,QUOTIENT(_xlpm.n-1,10),_xlpm.pos,MOD(_xlpm.n-1,10),_xlpm.conceptRow,6+_xlpm.block*11,_xlpm.srcRow,_xlpm.conceptRow+_xlpm.pos,IF(INDEX(Curation!$A:$A,_xlpm.conceptRow)="","",INDEX(Curation!$E:$E,_xlpm.srcRow)))</f>
        <v>2</v>
      </c>
      <c r="D9" cm="1">
        <f t="array" ref="D9">_xlfn.LET(_xlpm.n,ROWS(D$2:D9),_xlpm.block,QUOTIENT(_xlpm.n-1,10),_xlpm.pos,MOD(_xlpm.n-1,10),_xlpm.conceptRow,6+_xlpm.block*11,_xlpm.srcRow,_xlpm.conceptRow+_xlpm.pos,IF(INDEX(Curation!$A:$A,_xlpm.conceptRow)="","",INDEX(Curation!$F:$F,_xlpm.srcRow)))</f>
        <v>9.0999999999999998E-2</v>
      </c>
      <c r="F9" t="str">
        <v>eper</v>
      </c>
      <c r="G9">
        <f>IFERROR(SUMIFS(Table2[Frequency],Table2[Concept],$F9,Table2[FeatureNo],G$1),"")</f>
        <v>11</v>
      </c>
      <c r="H9">
        <f>IFERROR(SUMIFS(Table2[Frequency],Table2[Concept],$F9,Table2[FeatureNo],H$1),"")</f>
        <v>8</v>
      </c>
      <c r="I9">
        <f>IFERROR(SUMIFS(Table2[Frequency],Table2[Concept],$F9,Table2[FeatureNo],I$1),"")</f>
        <v>1</v>
      </c>
      <c r="J9">
        <f>IFERROR(SUMIFS(Table2[Frequency],Table2[Concept],$F9,Table2[FeatureNo],J$1),"")</f>
        <v>13</v>
      </c>
      <c r="K9">
        <f>IFERROR(SUMIFS(Table2[Frequency],Table2[Concept],$F9,Table2[FeatureNo],K$1),"")</f>
        <v>3</v>
      </c>
      <c r="L9">
        <f>IFERROR(SUMIFS(Table2[Frequency],Table2[Concept],$F9,Table2[FeatureNo],L$1),"")</f>
        <v>10</v>
      </c>
      <c r="M9">
        <f>IFERROR(SUMIFS(Table2[Frequency],Table2[Concept],$F9,Table2[FeatureNo],M$1),"")</f>
        <v>15</v>
      </c>
      <c r="N9">
        <f>IFERROR(SUMIFS(Table2[Frequency],Table2[Concept],$F9,Table2[FeatureNo],N$1),"")</f>
        <v>3</v>
      </c>
      <c r="O9">
        <f>IFERROR(SUMIFS(Table2[Frequency],Table2[Concept],$F9,Table2[FeatureNo],O$1),"")</f>
        <v>3</v>
      </c>
      <c r="P9">
        <f>IFERROR(SUMIFS(Table2[Frequency],Table2[Concept],$F9,Table2[FeatureNo],P$1),"")</f>
        <v>3</v>
      </c>
      <c r="T9" t="str">
        <v>eper</v>
      </c>
      <c r="U9">
        <f>IFERROR(SUMIFS(Table2[Distinct],Table2[Concept],$F9,Table2[FeatureNo],U$1),"")</f>
        <v>0.125</v>
      </c>
      <c r="V9">
        <f>IFERROR(SUMIFS(Table2[Distinct],Table2[Concept],$F9,Table2[FeatureNo],V$1),"")</f>
        <v>0.25</v>
      </c>
      <c r="W9">
        <f>IFERROR(SUMIFS(Table2[Distinct],Table2[Concept],$F9,Table2[FeatureNo],W$1),"")</f>
        <v>9.0999999999999998E-2</v>
      </c>
      <c r="X9">
        <f>IFERROR(SUMIFS(Table2[Distinct],Table2[Concept],$F9,Table2[FeatureNo],X$1),"")</f>
        <v>0.125</v>
      </c>
      <c r="Y9">
        <f>IFERROR(SUMIFS(Table2[Distinct],Table2[Concept],$F9,Table2[FeatureNo],Y$1),"")</f>
        <v>0.33300000000000002</v>
      </c>
      <c r="Z9">
        <f>IFERROR(SUMIFS(Table2[Distinct],Table2[Concept],$F9,Table2[FeatureNo],Z$1),"")</f>
        <v>0.2</v>
      </c>
      <c r="AA9">
        <f>IFERROR(SUMIFS(Table2[Distinct],Table2[Concept],$F9,Table2[FeatureNo],AA$1),"")</f>
        <v>0.33300000000000002</v>
      </c>
      <c r="AB9">
        <f>IFERROR(SUMIFS(Table2[Distinct],Table2[Concept],$F9,Table2[FeatureNo],AB$1),"")</f>
        <v>9.0999999999999998E-2</v>
      </c>
      <c r="AC9">
        <f>IFERROR(SUMIFS(Table2[Distinct],Table2[Concept],$F9,Table2[FeatureNo],AC$1),"")</f>
        <v>0.33300000000000002</v>
      </c>
      <c r="AD9">
        <f>IFERROR(SUMIFS(Table2[Distinct],Table2[Concept],$F9,Table2[FeatureNo],AD$1),"")</f>
        <v>0.111</v>
      </c>
    </row>
    <row r="10" spans="1:30" x14ac:dyDescent="0.3">
      <c r="A10" t="str" cm="1">
        <f t="array" ref="A10">_xlfn.LET(_xlpm.n,ROWS(A$2:A10),_xlpm.block,QUOTIENT(_xlpm.n-1,10),_xlpm.conceptRow,6+_xlpm.block*11,IF(INDEX(Curation!$A:$A,_xlpm.conceptRow)="","",INDEX(Curation!$A:$A,_xlpm.conceptRow)))</f>
        <v>alma</v>
      </c>
      <c r="B10" t="s">
        <v>480</v>
      </c>
      <c r="C10" cm="1">
        <f t="array" ref="C10">_xlfn.LET(_xlpm.n,ROWS(C$2:C10),_xlpm.block,QUOTIENT(_xlpm.n-1,10),_xlpm.pos,MOD(_xlpm.n-1,10),_xlpm.conceptRow,6+_xlpm.block*11,_xlpm.srcRow,_xlpm.conceptRow+_xlpm.pos,IF(INDEX(Curation!$A:$A,_xlpm.conceptRow)="","",INDEX(Curation!$E:$E,_xlpm.srcRow)))</f>
        <v>11</v>
      </c>
      <c r="D10" cm="1">
        <f t="array" ref="D10">_xlfn.LET(_xlpm.n,ROWS(D$2:D10),_xlpm.block,QUOTIENT(_xlpm.n-1,10),_xlpm.pos,MOD(_xlpm.n-1,10),_xlpm.conceptRow,6+_xlpm.block*11,_xlpm.srcRow,_xlpm.conceptRow+_xlpm.pos,IF(INDEX(Curation!$A:$A,_xlpm.conceptRow)="","",INDEX(Curation!$F:$F,_xlpm.srcRow)))</f>
        <v>0.2</v>
      </c>
      <c r="F10" t="str">
        <v>erdő</v>
      </c>
      <c r="G10">
        <f>IFERROR(SUMIFS(Table2[Frequency],Table2[Concept],$F10,Table2[FeatureNo],G$1),"")</f>
        <v>3</v>
      </c>
      <c r="H10">
        <f>IFERROR(SUMIFS(Table2[Frequency],Table2[Concept],$F10,Table2[FeatureNo],H$1),"")</f>
        <v>2</v>
      </c>
      <c r="I10">
        <f>IFERROR(SUMIFS(Table2[Frequency],Table2[Concept],$F10,Table2[FeatureNo],I$1),"")</f>
        <v>2</v>
      </c>
      <c r="J10">
        <f>IFERROR(SUMIFS(Table2[Frequency],Table2[Concept],$F10,Table2[FeatureNo],J$1),"")</f>
        <v>2</v>
      </c>
      <c r="K10">
        <f>IFERROR(SUMIFS(Table2[Frequency],Table2[Concept],$F10,Table2[FeatureNo],K$1),"")</f>
        <v>4</v>
      </c>
      <c r="L10">
        <f>IFERROR(SUMIFS(Table2[Frequency],Table2[Concept],$F10,Table2[FeatureNo],L$1),"")</f>
        <v>2</v>
      </c>
      <c r="M10">
        <f>IFERROR(SUMIFS(Table2[Frequency],Table2[Concept],$F10,Table2[FeatureNo],M$1),"")</f>
        <v>1</v>
      </c>
      <c r="N10">
        <f>IFERROR(SUMIFS(Table2[Frequency],Table2[Concept],$F10,Table2[FeatureNo],N$1),"")</f>
        <v>4</v>
      </c>
      <c r="O10">
        <f>IFERROR(SUMIFS(Table2[Frequency],Table2[Concept],$F10,Table2[FeatureNo],O$1),"")</f>
        <v>1</v>
      </c>
      <c r="P10">
        <f>IFERROR(SUMIFS(Table2[Frequency],Table2[Concept],$F10,Table2[FeatureNo],P$1),"")</f>
        <v>1</v>
      </c>
      <c r="T10" t="str">
        <v>erdő</v>
      </c>
      <c r="U10">
        <f>IFERROR(SUMIFS(Table2[Distinct],Table2[Concept],$F10,Table2[FeatureNo],U$1),"")</f>
        <v>0.2</v>
      </c>
      <c r="V10">
        <f>IFERROR(SUMIFS(Table2[Distinct],Table2[Concept],$F10,Table2[FeatureNo],V$1),"")</f>
        <v>0.2</v>
      </c>
      <c r="W10">
        <f>IFERROR(SUMIFS(Table2[Distinct],Table2[Concept],$F10,Table2[FeatureNo],W$1),"")</f>
        <v>0.33300000000000002</v>
      </c>
      <c r="X10">
        <f>IFERROR(SUMIFS(Table2[Distinct],Table2[Concept],$F10,Table2[FeatureNo],X$1),"")</f>
        <v>0.05</v>
      </c>
      <c r="Y10">
        <f>IFERROR(SUMIFS(Table2[Distinct],Table2[Concept],$F10,Table2[FeatureNo],Y$1),"")</f>
        <v>0.33300000000000002</v>
      </c>
      <c r="Z10">
        <f>IFERROR(SUMIFS(Table2[Distinct],Table2[Concept],$F10,Table2[FeatureNo],Z$1),"")</f>
        <v>0.16700000000000001</v>
      </c>
      <c r="AA10">
        <f>IFERROR(SUMIFS(Table2[Distinct],Table2[Concept],$F10,Table2[FeatureNo],AA$1),"")</f>
        <v>0.33300000000000002</v>
      </c>
      <c r="AB10">
        <f>IFERROR(SUMIFS(Table2[Distinct],Table2[Concept],$F10,Table2[FeatureNo],AB$1),"")</f>
        <v>0.25</v>
      </c>
      <c r="AC10">
        <f>IFERROR(SUMIFS(Table2[Distinct],Table2[Concept],$F10,Table2[FeatureNo],AC$1),"")</f>
        <v>0.33300000000000002</v>
      </c>
      <c r="AD10">
        <f>IFERROR(SUMIFS(Table2[Distinct],Table2[Concept],$F10,Table2[FeatureNo],AD$1),"")</f>
        <v>9.0999999999999998E-2</v>
      </c>
    </row>
    <row r="11" spans="1:30" x14ac:dyDescent="0.3">
      <c r="A11" t="str" cm="1">
        <f t="array" ref="A11">_xlfn.LET(_xlpm.n,ROWS(A$2:A11),_xlpm.block,QUOTIENT(_xlpm.n-1,10),_xlpm.conceptRow,6+_xlpm.block*11,IF(INDEX(Curation!$A:$A,_xlpm.conceptRow)="","",INDEX(Curation!$A:$A,_xlpm.conceptRow)))</f>
        <v>alma</v>
      </c>
      <c r="B11" t="s">
        <v>481</v>
      </c>
      <c r="C11" cm="1">
        <f t="array" ref="C11">_xlfn.LET(_xlpm.n,ROWS(C$2:C11),_xlpm.block,QUOTIENT(_xlpm.n-1,10),_xlpm.pos,MOD(_xlpm.n-1,10),_xlpm.conceptRow,6+_xlpm.block*11,_xlpm.srcRow,_xlpm.conceptRow+_xlpm.pos,IF(INDEX(Curation!$A:$A,_xlpm.conceptRow)="","",INDEX(Curation!$E:$E,_xlpm.srcRow)))</f>
        <v>7</v>
      </c>
      <c r="D11" cm="1">
        <f t="array" ref="D11">_xlfn.LET(_xlpm.n,ROWS(D$2:D11),_xlpm.block,QUOTIENT(_xlpm.n-1,10),_xlpm.pos,MOD(_xlpm.n-1,10),_xlpm.conceptRow,6+_xlpm.block*11,_xlpm.srcRow,_xlpm.conceptRow+_xlpm.pos,IF(INDEX(Curation!$A:$A,_xlpm.conceptRow)="","",INDEX(Curation!$F:$F,_xlpm.srcRow)))</f>
        <v>0.2</v>
      </c>
      <c r="F11" t="str">
        <v>gomba</v>
      </c>
      <c r="G11">
        <f>IFERROR(SUMIFS(Table2[Frequency],Table2[Concept],$F11,Table2[FeatureNo],G$1),"")</f>
        <v>14</v>
      </c>
      <c r="H11">
        <f>IFERROR(SUMIFS(Table2[Frequency],Table2[Concept],$F11,Table2[FeatureNo],H$1),"")</f>
        <v>12</v>
      </c>
      <c r="I11">
        <f>IFERROR(SUMIFS(Table2[Frequency],Table2[Concept],$F11,Table2[FeatureNo],I$1),"")</f>
        <v>4</v>
      </c>
      <c r="J11">
        <f>IFERROR(SUMIFS(Table2[Frequency],Table2[Concept],$F11,Table2[FeatureNo],J$1),"")</f>
        <v>10</v>
      </c>
      <c r="K11">
        <f>IFERROR(SUMIFS(Table2[Frequency],Table2[Concept],$F11,Table2[FeatureNo],K$1),"")</f>
        <v>2</v>
      </c>
      <c r="L11">
        <f>IFERROR(SUMIFS(Table2[Frequency],Table2[Concept],$F11,Table2[FeatureNo],L$1),"")</f>
        <v>3</v>
      </c>
      <c r="M11">
        <f>IFERROR(SUMIFS(Table2[Frequency],Table2[Concept],$F11,Table2[FeatureNo],M$1),"")</f>
        <v>2</v>
      </c>
      <c r="N11">
        <f>IFERROR(SUMIFS(Table2[Frequency],Table2[Concept],$F11,Table2[FeatureNo],N$1),"")</f>
        <v>2</v>
      </c>
      <c r="O11">
        <f>IFERROR(SUMIFS(Table2[Frequency],Table2[Concept],$F11,Table2[FeatureNo],O$1),"")</f>
        <v>1</v>
      </c>
      <c r="P11">
        <f>IFERROR(SUMIFS(Table2[Frequency],Table2[Concept],$F11,Table2[FeatureNo],P$1),"")</f>
        <v>2</v>
      </c>
      <c r="T11" t="str">
        <v>gomba</v>
      </c>
      <c r="U11">
        <f>IFERROR(SUMIFS(Table2[Distinct],Table2[Concept],$F11,Table2[FeatureNo],U$1),"")</f>
        <v>0.125</v>
      </c>
      <c r="V11">
        <f>IFERROR(SUMIFS(Table2[Distinct],Table2[Concept],$F11,Table2[FeatureNo],V$1),"")</f>
        <v>0.25</v>
      </c>
      <c r="W11">
        <f>IFERROR(SUMIFS(Table2[Distinct],Table2[Concept],$F11,Table2[FeatureNo],W$1),"")</f>
        <v>0.1</v>
      </c>
      <c r="X11">
        <f>IFERROR(SUMIFS(Table2[Distinct],Table2[Concept],$F11,Table2[FeatureNo],X$1),"")</f>
        <v>0.25</v>
      </c>
      <c r="Y11">
        <f>IFERROR(SUMIFS(Table2[Distinct],Table2[Concept],$F11,Table2[FeatureNo],Y$1),"")</f>
        <v>0.1</v>
      </c>
      <c r="Z11">
        <f>IFERROR(SUMIFS(Table2[Distinct],Table2[Concept],$F11,Table2[FeatureNo],Z$1),"")</f>
        <v>0.33300000000000002</v>
      </c>
      <c r="AA11">
        <f>IFERROR(SUMIFS(Table2[Distinct],Table2[Concept],$F11,Table2[FeatureNo],AA$1),"")</f>
        <v>0.125</v>
      </c>
      <c r="AB11">
        <f>IFERROR(SUMIFS(Table2[Distinct],Table2[Concept],$F11,Table2[FeatureNo],AB$1),"")</f>
        <v>0.25</v>
      </c>
      <c r="AC11">
        <f>IFERROR(SUMIFS(Table2[Distinct],Table2[Concept],$F11,Table2[FeatureNo],AC$1),"")</f>
        <v>0.16700000000000001</v>
      </c>
      <c r="AD11">
        <f>IFERROR(SUMIFS(Table2[Distinct],Table2[Concept],$F11,Table2[FeatureNo],AD$1),"")</f>
        <v>9.0999999999999998E-2</v>
      </c>
    </row>
    <row r="12" spans="1:30" x14ac:dyDescent="0.3">
      <c r="A12" t="str" cm="1">
        <f t="array" ref="A12">_xlfn.LET(_xlpm.n,ROWS(A$2:A12),_xlpm.block,QUOTIENT(_xlpm.n-1,10),_xlpm.conceptRow,6+_xlpm.block*11,IF(INDEX(Curation!$A:$A,_xlpm.conceptRow)="","",INDEX(Curation!$A:$A,_xlpm.conceptRow)))</f>
        <v>asztal</v>
      </c>
      <c r="B12" t="s">
        <v>472</v>
      </c>
      <c r="C12" cm="1">
        <f t="array" ref="C12">_xlfn.LET(_xlpm.n,ROWS(C$2:C12),_xlpm.block,QUOTIENT(_xlpm.n-1,10),_xlpm.pos,MOD(_xlpm.n-1,10),_xlpm.conceptRow,6+_xlpm.block*11,_xlpm.srcRow,_xlpm.conceptRow+_xlpm.pos,IF(INDEX(Curation!$A:$A,_xlpm.conceptRow)="","",INDEX(Curation!$E:$E,_xlpm.srcRow)))</f>
        <v>9</v>
      </c>
      <c r="D12" cm="1">
        <f t="array" ref="D12">_xlfn.LET(_xlpm.n,ROWS(D$2:D12),_xlpm.block,QUOTIENT(_xlpm.n-1,10),_xlpm.pos,MOD(_xlpm.n-1,10),_xlpm.conceptRow,6+_xlpm.block*11,_xlpm.srcRow,_xlpm.conceptRow+_xlpm.pos,IF(INDEX(Curation!$A:$A,_xlpm.conceptRow)="","",INDEX(Curation!$F:$F,_xlpm.srcRow)))</f>
        <v>0.16700000000000001</v>
      </c>
      <c r="F12" t="str">
        <v>gyerek</v>
      </c>
      <c r="G12">
        <f>IFERROR(SUMIFS(Table2[Frequency],Table2[Concept],$F12,Table2[FeatureNo],G$1),"")</f>
        <v>1</v>
      </c>
      <c r="H12">
        <f>IFERROR(SUMIFS(Table2[Frequency],Table2[Concept],$F12,Table2[FeatureNo],H$1),"")</f>
        <v>9</v>
      </c>
      <c r="I12">
        <f>IFERROR(SUMIFS(Table2[Frequency],Table2[Concept],$F12,Table2[FeatureNo],I$1),"")</f>
        <v>7</v>
      </c>
      <c r="J12">
        <f>IFERROR(SUMIFS(Table2[Frequency],Table2[Concept],$F12,Table2[FeatureNo],J$1),"")</f>
        <v>7</v>
      </c>
      <c r="K12">
        <f>IFERROR(SUMIFS(Table2[Frequency],Table2[Concept],$F12,Table2[FeatureNo],K$1),"")</f>
        <v>7</v>
      </c>
      <c r="L12">
        <f>IFERROR(SUMIFS(Table2[Frequency],Table2[Concept],$F12,Table2[FeatureNo],L$1),"")</f>
        <v>10</v>
      </c>
      <c r="M12">
        <f>IFERROR(SUMIFS(Table2[Frequency],Table2[Concept],$F12,Table2[FeatureNo],M$1),"")</f>
        <v>1</v>
      </c>
      <c r="N12">
        <f>IFERROR(SUMIFS(Table2[Frequency],Table2[Concept],$F12,Table2[FeatureNo],N$1),"")</f>
        <v>7</v>
      </c>
      <c r="O12">
        <f>IFERROR(SUMIFS(Table2[Frequency],Table2[Concept],$F12,Table2[FeatureNo],O$1),"")</f>
        <v>7</v>
      </c>
      <c r="P12">
        <f>IFERROR(SUMIFS(Table2[Frequency],Table2[Concept],$F12,Table2[FeatureNo],P$1),"")</f>
        <v>2</v>
      </c>
      <c r="T12" t="str">
        <v>gyerek</v>
      </c>
      <c r="U12">
        <f>IFERROR(SUMIFS(Table2[Distinct],Table2[Concept],$F12,Table2[FeatureNo],U$1),"")</f>
        <v>0.16700000000000001</v>
      </c>
      <c r="V12">
        <f>IFERROR(SUMIFS(Table2[Distinct],Table2[Concept],$F12,Table2[FeatureNo],V$1),"")</f>
        <v>0.33300000000000002</v>
      </c>
      <c r="W12">
        <f>IFERROR(SUMIFS(Table2[Distinct],Table2[Concept],$F12,Table2[FeatureNo],W$1),"")</f>
        <v>0.25</v>
      </c>
      <c r="X12">
        <f>IFERROR(SUMIFS(Table2[Distinct],Table2[Concept],$F12,Table2[FeatureNo],X$1),"")</f>
        <v>0.14299999999999999</v>
      </c>
      <c r="Y12">
        <f>IFERROR(SUMIFS(Table2[Distinct],Table2[Concept],$F12,Table2[FeatureNo],Y$1),"")</f>
        <v>0.33300000000000002</v>
      </c>
      <c r="Z12">
        <f>IFERROR(SUMIFS(Table2[Distinct],Table2[Concept],$F12,Table2[FeatureNo],Z$1),"")</f>
        <v>0.1</v>
      </c>
      <c r="AA12">
        <f>IFERROR(SUMIFS(Table2[Distinct],Table2[Concept],$F12,Table2[FeatureNo],AA$1),"")</f>
        <v>0.25</v>
      </c>
      <c r="AB12">
        <f>IFERROR(SUMIFS(Table2[Distinct],Table2[Concept],$F12,Table2[FeatureNo],AB$1),"")</f>
        <v>0.14299999999999999</v>
      </c>
      <c r="AC12">
        <f>IFERROR(SUMIFS(Table2[Distinct],Table2[Concept],$F12,Table2[FeatureNo],AC$1),"")</f>
        <v>0.2</v>
      </c>
      <c r="AD12">
        <f>IFERROR(SUMIFS(Table2[Distinct],Table2[Concept],$F12,Table2[FeatureNo],AD$1),"")</f>
        <v>0.33300000000000002</v>
      </c>
    </row>
    <row r="13" spans="1:30" x14ac:dyDescent="0.3">
      <c r="A13" t="str" cm="1">
        <f t="array" ref="A13">_xlfn.LET(_xlpm.n,ROWS(A$2:A13),_xlpm.block,QUOTIENT(_xlpm.n-1,10),_xlpm.conceptRow,6+_xlpm.block*11,IF(INDEX(Curation!$A:$A,_xlpm.conceptRow)="","",INDEX(Curation!$A:$A,_xlpm.conceptRow)))</f>
        <v>asztal</v>
      </c>
      <c r="B13" t="s">
        <v>473</v>
      </c>
      <c r="C13" cm="1">
        <f t="array" ref="C13">_xlfn.LET(_xlpm.n,ROWS(C$2:C13),_xlpm.block,QUOTIENT(_xlpm.n-1,10),_xlpm.pos,MOD(_xlpm.n-1,10),_xlpm.conceptRow,6+_xlpm.block*11,_xlpm.srcRow,_xlpm.conceptRow+_xlpm.pos,IF(INDEX(Curation!$A:$A,_xlpm.conceptRow)="","",INDEX(Curation!$E:$E,_xlpm.srcRow)))</f>
        <v>12</v>
      </c>
      <c r="D13" cm="1">
        <f t="array" ref="D13">_xlfn.LET(_xlpm.n,ROWS(D$2:D13),_xlpm.block,QUOTIENT(_xlpm.n-1,10),_xlpm.pos,MOD(_xlpm.n-1,10),_xlpm.conceptRow,6+_xlpm.block*11,_xlpm.srcRow,_xlpm.conceptRow+_xlpm.pos,IF(INDEX(Curation!$A:$A,_xlpm.conceptRow)="","",INDEX(Curation!$F:$F,_xlpm.srcRow)))</f>
        <v>0.33300000000000002</v>
      </c>
      <c r="F13" t="str">
        <v>helikopter</v>
      </c>
      <c r="G13">
        <f>IFERROR(SUMIFS(Table2[Frequency],Table2[Concept],$F13,Table2[FeatureNo],G$1),"")</f>
        <v>3</v>
      </c>
      <c r="H13">
        <f>IFERROR(SUMIFS(Table2[Frequency],Table2[Concept],$F13,Table2[FeatureNo],H$1),"")</f>
        <v>4</v>
      </c>
      <c r="I13">
        <f>IFERROR(SUMIFS(Table2[Frequency],Table2[Concept],$F13,Table2[FeatureNo],I$1),"")</f>
        <v>1</v>
      </c>
      <c r="J13">
        <f>IFERROR(SUMIFS(Table2[Frequency],Table2[Concept],$F13,Table2[FeatureNo],J$1),"")</f>
        <v>2</v>
      </c>
      <c r="K13">
        <f>IFERROR(SUMIFS(Table2[Frequency],Table2[Concept],$F13,Table2[FeatureNo],K$1),"")</f>
        <v>5</v>
      </c>
      <c r="L13">
        <f>IFERROR(SUMIFS(Table2[Frequency],Table2[Concept],$F13,Table2[FeatureNo],L$1),"")</f>
        <v>3</v>
      </c>
      <c r="M13">
        <f>IFERROR(SUMIFS(Table2[Frequency],Table2[Concept],$F13,Table2[FeatureNo],M$1),"")</f>
        <v>1</v>
      </c>
      <c r="N13">
        <f>IFERROR(SUMIFS(Table2[Frequency],Table2[Concept],$F13,Table2[FeatureNo],N$1),"")</f>
        <v>13</v>
      </c>
      <c r="O13">
        <f>IFERROR(SUMIFS(Table2[Frequency],Table2[Concept],$F13,Table2[FeatureNo],O$1),"")</f>
        <v>3</v>
      </c>
      <c r="P13">
        <f>IFERROR(SUMIFS(Table2[Frequency],Table2[Concept],$F13,Table2[FeatureNo],P$1),"")</f>
        <v>1</v>
      </c>
      <c r="T13" t="str">
        <v>helikopter</v>
      </c>
      <c r="U13">
        <f>IFERROR(SUMIFS(Table2[Distinct],Table2[Concept],$F13,Table2[FeatureNo],U$1),"")</f>
        <v>0.14299999999999999</v>
      </c>
      <c r="V13">
        <f>IFERROR(SUMIFS(Table2[Distinct],Table2[Concept],$F13,Table2[FeatureNo],V$1),"")</f>
        <v>0.33300000000000002</v>
      </c>
      <c r="W13">
        <f>IFERROR(SUMIFS(Table2[Distinct],Table2[Concept],$F13,Table2[FeatureNo],W$1),"")</f>
        <v>0.33300000000000002</v>
      </c>
      <c r="X13">
        <f>IFERROR(SUMIFS(Table2[Distinct],Table2[Concept],$F13,Table2[FeatureNo],X$1),"")</f>
        <v>0.33300000000000002</v>
      </c>
      <c r="Y13">
        <f>IFERROR(SUMIFS(Table2[Distinct],Table2[Concept],$F13,Table2[FeatureNo],Y$1),"")</f>
        <v>0.25</v>
      </c>
      <c r="Z13">
        <f>IFERROR(SUMIFS(Table2[Distinct],Table2[Concept],$F13,Table2[FeatureNo],Z$1),"")</f>
        <v>0.05</v>
      </c>
      <c r="AA13">
        <f>IFERROR(SUMIFS(Table2[Distinct],Table2[Concept],$F13,Table2[FeatureNo],AA$1),"")</f>
        <v>0.2</v>
      </c>
      <c r="AB13">
        <f>IFERROR(SUMIFS(Table2[Distinct],Table2[Concept],$F13,Table2[FeatureNo],AB$1),"")</f>
        <v>0.2</v>
      </c>
      <c r="AC13">
        <f>IFERROR(SUMIFS(Table2[Distinct],Table2[Concept],$F13,Table2[FeatureNo],AC$1),"")</f>
        <v>0.2</v>
      </c>
      <c r="AD13">
        <f>IFERROR(SUMIFS(Table2[Distinct],Table2[Concept],$F13,Table2[FeatureNo],AD$1),"")</f>
        <v>0.25</v>
      </c>
    </row>
    <row r="14" spans="1:30" x14ac:dyDescent="0.3">
      <c r="A14" t="str" cm="1">
        <f t="array" ref="A14">_xlfn.LET(_xlpm.n,ROWS(A$2:A14),_xlpm.block,QUOTIENT(_xlpm.n-1,10),_xlpm.conceptRow,6+_xlpm.block*11,IF(INDEX(Curation!$A:$A,_xlpm.conceptRow)="","",INDEX(Curation!$A:$A,_xlpm.conceptRow)))</f>
        <v>asztal</v>
      </c>
      <c r="B14" t="s">
        <v>474</v>
      </c>
      <c r="C14" cm="1">
        <f t="array" ref="C14">_xlfn.LET(_xlpm.n,ROWS(C$2:C14),_xlpm.block,QUOTIENT(_xlpm.n-1,10),_xlpm.pos,MOD(_xlpm.n-1,10),_xlpm.conceptRow,6+_xlpm.block*11,_xlpm.srcRow,_xlpm.conceptRow+_xlpm.pos,IF(INDEX(Curation!$A:$A,_xlpm.conceptRow)="","",INDEX(Curation!$E:$E,_xlpm.srcRow)))</f>
        <v>3</v>
      </c>
      <c r="D14" cm="1">
        <f t="array" ref="D14">_xlfn.LET(_xlpm.n,ROWS(D$2:D14),_xlpm.block,QUOTIENT(_xlpm.n-1,10),_xlpm.pos,MOD(_xlpm.n-1,10),_xlpm.conceptRow,6+_xlpm.block*11,_xlpm.srcRow,_xlpm.conceptRow+_xlpm.pos,IF(INDEX(Curation!$A:$A,_xlpm.conceptRow)="","",INDEX(Curation!$F:$F,_xlpm.srcRow)))</f>
        <v>0.14299999999999999</v>
      </c>
      <c r="F14" t="str">
        <v>hercegnő</v>
      </c>
      <c r="G14">
        <f>IFERROR(SUMIFS(Table2[Frequency],Table2[Concept],$F14,Table2[FeatureNo],G$1),"")</f>
        <v>3</v>
      </c>
      <c r="H14">
        <f>IFERROR(SUMIFS(Table2[Frequency],Table2[Concept],$F14,Table2[FeatureNo],H$1),"")</f>
        <v>1</v>
      </c>
      <c r="I14">
        <f>IFERROR(SUMIFS(Table2[Frequency],Table2[Concept],$F14,Table2[FeatureNo],I$1),"")</f>
        <v>1</v>
      </c>
      <c r="J14">
        <f>IFERROR(SUMIFS(Table2[Frequency],Table2[Concept],$F14,Table2[FeatureNo],J$1),"")</f>
        <v>1</v>
      </c>
      <c r="K14">
        <f>IFERROR(SUMIFS(Table2[Frequency],Table2[Concept],$F14,Table2[FeatureNo],K$1),"")</f>
        <v>9</v>
      </c>
      <c r="L14">
        <f>IFERROR(SUMIFS(Table2[Frequency],Table2[Concept],$F14,Table2[FeatureNo],L$1),"")</f>
        <v>1</v>
      </c>
      <c r="M14">
        <f>IFERROR(SUMIFS(Table2[Frequency],Table2[Concept],$F14,Table2[FeatureNo],M$1),"")</f>
        <v>1</v>
      </c>
      <c r="N14">
        <f>IFERROR(SUMIFS(Table2[Frequency],Table2[Concept],$F14,Table2[FeatureNo],N$1),"")</f>
        <v>1</v>
      </c>
      <c r="O14">
        <f>IFERROR(SUMIFS(Table2[Frequency],Table2[Concept],$F14,Table2[FeatureNo],O$1),"")</f>
        <v>3</v>
      </c>
      <c r="P14">
        <f>IFERROR(SUMIFS(Table2[Frequency],Table2[Concept],$F14,Table2[FeatureNo],P$1),"")</f>
        <v>3</v>
      </c>
      <c r="T14" t="str">
        <v>hercegnő</v>
      </c>
      <c r="U14">
        <f>IFERROR(SUMIFS(Table2[Distinct],Table2[Concept],$F14,Table2[FeatureNo],U$1),"")</f>
        <v>0.2</v>
      </c>
      <c r="V14">
        <f>IFERROR(SUMIFS(Table2[Distinct],Table2[Concept],$F14,Table2[FeatureNo],V$1),"")</f>
        <v>0.25</v>
      </c>
      <c r="W14">
        <f>IFERROR(SUMIFS(Table2[Distinct],Table2[Concept],$F14,Table2[FeatureNo],W$1),"")</f>
        <v>0.14299999999999999</v>
      </c>
      <c r="X14">
        <f>IFERROR(SUMIFS(Table2[Distinct],Table2[Concept],$F14,Table2[FeatureNo],X$1),"")</f>
        <v>0.33300000000000002</v>
      </c>
      <c r="Y14">
        <f>IFERROR(SUMIFS(Table2[Distinct],Table2[Concept],$F14,Table2[FeatureNo],Y$1),"")</f>
        <v>0.33300000000000002</v>
      </c>
      <c r="Z14">
        <f>IFERROR(SUMIFS(Table2[Distinct],Table2[Concept],$F14,Table2[FeatureNo],Z$1),"")</f>
        <v>0.33300000000000002</v>
      </c>
      <c r="AA14">
        <f>IFERROR(SUMIFS(Table2[Distinct],Table2[Concept],$F14,Table2[FeatureNo],AA$1),"")</f>
        <v>0.25</v>
      </c>
      <c r="AB14">
        <f>IFERROR(SUMIFS(Table2[Distinct],Table2[Concept],$F14,Table2[FeatureNo],AB$1),"")</f>
        <v>0.16700000000000001</v>
      </c>
      <c r="AC14">
        <f>IFERROR(SUMIFS(Table2[Distinct],Table2[Concept],$F14,Table2[FeatureNo],AC$1),"")</f>
        <v>0.33300000000000002</v>
      </c>
      <c r="AD14">
        <f>IFERROR(SUMIFS(Table2[Distinct],Table2[Concept],$F14,Table2[FeatureNo],AD$1),"")</f>
        <v>0.33300000000000002</v>
      </c>
    </row>
    <row r="15" spans="1:30" x14ac:dyDescent="0.3">
      <c r="A15" t="str" cm="1">
        <f t="array" ref="A15">_xlfn.LET(_xlpm.n,ROWS(A$2:A15),_xlpm.block,QUOTIENT(_xlpm.n-1,10),_xlpm.conceptRow,6+_xlpm.block*11,IF(INDEX(Curation!$A:$A,_xlpm.conceptRow)="","",INDEX(Curation!$A:$A,_xlpm.conceptRow)))</f>
        <v>asztal</v>
      </c>
      <c r="B15" t="s">
        <v>475</v>
      </c>
      <c r="C15" cm="1">
        <f t="array" ref="C15">_xlfn.LET(_xlpm.n,ROWS(C$2:C15),_xlpm.block,QUOTIENT(_xlpm.n-1,10),_xlpm.pos,MOD(_xlpm.n-1,10),_xlpm.conceptRow,6+_xlpm.block*11,_xlpm.srcRow,_xlpm.conceptRow+_xlpm.pos,IF(INDEX(Curation!$A:$A,_xlpm.conceptRow)="","",INDEX(Curation!$E:$E,_xlpm.srcRow)))</f>
        <v>11</v>
      </c>
      <c r="D15" cm="1">
        <f t="array" ref="D15">_xlfn.LET(_xlpm.n,ROWS(D$2:D15),_xlpm.block,QUOTIENT(_xlpm.n-1,10),_xlpm.pos,MOD(_xlpm.n-1,10),_xlpm.conceptRow,6+_xlpm.block*11,_xlpm.srcRow,_xlpm.conceptRow+_xlpm.pos,IF(INDEX(Curation!$A:$A,_xlpm.conceptRow)="","",INDEX(Curation!$F:$F,_xlpm.srcRow)))</f>
        <v>0.33300000000000002</v>
      </c>
      <c r="F15" t="str">
        <v>játszótér</v>
      </c>
      <c r="G15">
        <f>IFERROR(SUMIFS(Table2[Frequency],Table2[Concept],$F15,Table2[FeatureNo],G$1),"")</f>
        <v>2</v>
      </c>
      <c r="H15">
        <f>IFERROR(SUMIFS(Table2[Frequency],Table2[Concept],$F15,Table2[FeatureNo],H$1),"")</f>
        <v>8</v>
      </c>
      <c r="I15">
        <f>IFERROR(SUMIFS(Table2[Frequency],Table2[Concept],$F15,Table2[FeatureNo],I$1),"")</f>
        <v>2</v>
      </c>
      <c r="J15">
        <f>IFERROR(SUMIFS(Table2[Frequency],Table2[Concept],$F15,Table2[FeatureNo],J$1),"")</f>
        <v>17</v>
      </c>
      <c r="K15">
        <f>IFERROR(SUMIFS(Table2[Frequency],Table2[Concept],$F15,Table2[FeatureNo],K$1),"")</f>
        <v>1</v>
      </c>
      <c r="L15">
        <f>IFERROR(SUMIFS(Table2[Frequency],Table2[Concept],$F15,Table2[FeatureNo],L$1),"")</f>
        <v>1</v>
      </c>
      <c r="M15">
        <f>IFERROR(SUMIFS(Table2[Frequency],Table2[Concept],$F15,Table2[FeatureNo],M$1),"")</f>
        <v>1</v>
      </c>
      <c r="N15">
        <f>IFERROR(SUMIFS(Table2[Frequency],Table2[Concept],$F15,Table2[FeatureNo],N$1),"")</f>
        <v>2</v>
      </c>
      <c r="O15">
        <f>IFERROR(SUMIFS(Table2[Frequency],Table2[Concept],$F15,Table2[FeatureNo],O$1),"")</f>
        <v>1</v>
      </c>
      <c r="P15">
        <f>IFERROR(SUMIFS(Table2[Frequency],Table2[Concept],$F15,Table2[FeatureNo],P$1),"")</f>
        <v>9</v>
      </c>
      <c r="T15" t="str">
        <v>játszótér</v>
      </c>
      <c r="U15">
        <f>IFERROR(SUMIFS(Table2[Distinct],Table2[Concept],$F15,Table2[FeatureNo],U$1),"")</f>
        <v>0.33300000000000002</v>
      </c>
      <c r="V15">
        <f>IFERROR(SUMIFS(Table2[Distinct],Table2[Concept],$F15,Table2[FeatureNo],V$1),"")</f>
        <v>0.33300000000000002</v>
      </c>
      <c r="W15">
        <f>IFERROR(SUMIFS(Table2[Distinct],Table2[Concept],$F15,Table2[FeatureNo],W$1),"")</f>
        <v>0.05</v>
      </c>
      <c r="X15">
        <f>IFERROR(SUMIFS(Table2[Distinct],Table2[Concept],$F15,Table2[FeatureNo],X$1),"")</f>
        <v>0.33300000000000002</v>
      </c>
      <c r="Y15">
        <f>IFERROR(SUMIFS(Table2[Distinct],Table2[Concept],$F15,Table2[FeatureNo],Y$1),"")</f>
        <v>0.33300000000000002</v>
      </c>
      <c r="Z15">
        <f>IFERROR(SUMIFS(Table2[Distinct],Table2[Concept],$F15,Table2[FeatureNo],Z$1),"")</f>
        <v>0.2</v>
      </c>
      <c r="AA15">
        <f>IFERROR(SUMIFS(Table2[Distinct],Table2[Concept],$F15,Table2[FeatureNo],AA$1),"")</f>
        <v>0.14299999999999999</v>
      </c>
      <c r="AB15">
        <f>IFERROR(SUMIFS(Table2[Distinct],Table2[Concept],$F15,Table2[FeatureNo],AB$1),"")</f>
        <v>0.16700000000000001</v>
      </c>
      <c r="AC15">
        <f>IFERROR(SUMIFS(Table2[Distinct],Table2[Concept],$F15,Table2[FeatureNo],AC$1),"")</f>
        <v>0.111</v>
      </c>
      <c r="AD15">
        <f>IFERROR(SUMIFS(Table2[Distinct],Table2[Concept],$F15,Table2[FeatureNo],AD$1),"")</f>
        <v>0.33300000000000002</v>
      </c>
    </row>
    <row r="16" spans="1:30" x14ac:dyDescent="0.3">
      <c r="A16" t="str" cm="1">
        <f t="array" ref="A16">_xlfn.LET(_xlpm.n,ROWS(A$2:A16),_xlpm.block,QUOTIENT(_xlpm.n-1,10),_xlpm.conceptRow,6+_xlpm.block*11,IF(INDEX(Curation!$A:$A,_xlpm.conceptRow)="","",INDEX(Curation!$A:$A,_xlpm.conceptRow)))</f>
        <v>asztal</v>
      </c>
      <c r="B16" t="s">
        <v>476</v>
      </c>
      <c r="C16" cm="1">
        <f t="array" ref="C16">_xlfn.LET(_xlpm.n,ROWS(C$2:C16),_xlpm.block,QUOTIENT(_xlpm.n-1,10),_xlpm.pos,MOD(_xlpm.n-1,10),_xlpm.conceptRow,6+_xlpm.block*11,_xlpm.srcRow,_xlpm.conceptRow+_xlpm.pos,IF(INDEX(Curation!$A:$A,_xlpm.conceptRow)="","",INDEX(Curation!$E:$E,_xlpm.srcRow)))</f>
        <v>5</v>
      </c>
      <c r="D16" cm="1">
        <f t="array" ref="D16">_xlfn.LET(_xlpm.n,ROWS(D$2:D16),_xlpm.block,QUOTIENT(_xlpm.n-1,10),_xlpm.pos,MOD(_xlpm.n-1,10),_xlpm.conceptRow,6+_xlpm.block*11,_xlpm.srcRow,_xlpm.conceptRow+_xlpm.pos,IF(INDEX(Curation!$A:$A,_xlpm.conceptRow)="","",INDEX(Curation!$F:$F,_xlpm.srcRow)))</f>
        <v>0.125</v>
      </c>
      <c r="F16" t="str">
        <v>kacsa</v>
      </c>
      <c r="G16">
        <f>IFERROR(SUMIFS(Table2[Frequency],Table2[Concept],$F16,Table2[FeatureNo],G$1),"")</f>
        <v>3</v>
      </c>
      <c r="H16">
        <f>IFERROR(SUMIFS(Table2[Frequency],Table2[Concept],$F16,Table2[FeatureNo],H$1),"")</f>
        <v>1</v>
      </c>
      <c r="I16">
        <f>IFERROR(SUMIFS(Table2[Frequency],Table2[Concept],$F16,Table2[FeatureNo],I$1),"")</f>
        <v>8</v>
      </c>
      <c r="J16">
        <f>IFERROR(SUMIFS(Table2[Frequency],Table2[Concept],$F16,Table2[FeatureNo],J$1),"")</f>
        <v>7</v>
      </c>
      <c r="K16">
        <f>IFERROR(SUMIFS(Table2[Frequency],Table2[Concept],$F16,Table2[FeatureNo],K$1),"")</f>
        <v>8</v>
      </c>
      <c r="L16">
        <f>IFERROR(SUMIFS(Table2[Frequency],Table2[Concept],$F16,Table2[FeatureNo],L$1),"")</f>
        <v>5</v>
      </c>
      <c r="M16">
        <f>IFERROR(SUMIFS(Table2[Frequency],Table2[Concept],$F16,Table2[FeatureNo],M$1),"")</f>
        <v>2</v>
      </c>
      <c r="N16">
        <f>IFERROR(SUMIFS(Table2[Frequency],Table2[Concept],$F16,Table2[FeatureNo],N$1),"")</f>
        <v>6</v>
      </c>
      <c r="O16">
        <f>IFERROR(SUMIFS(Table2[Frequency],Table2[Concept],$F16,Table2[FeatureNo],O$1),"")</f>
        <v>1</v>
      </c>
      <c r="P16">
        <f>IFERROR(SUMIFS(Table2[Frequency],Table2[Concept],$F16,Table2[FeatureNo],P$1),"")</f>
        <v>1</v>
      </c>
      <c r="T16" t="str">
        <v>kacsa</v>
      </c>
      <c r="U16">
        <f>IFERROR(SUMIFS(Table2[Distinct],Table2[Concept],$F16,Table2[FeatureNo],U$1),"")</f>
        <v>0.16700000000000001</v>
      </c>
      <c r="V16">
        <f>IFERROR(SUMIFS(Table2[Distinct],Table2[Concept],$F16,Table2[FeatureNo],V$1),"")</f>
        <v>0.33300000000000002</v>
      </c>
      <c r="W16">
        <f>IFERROR(SUMIFS(Table2[Distinct],Table2[Concept],$F16,Table2[FeatureNo],W$1),"")</f>
        <v>0.14299999999999999</v>
      </c>
      <c r="X16">
        <f>IFERROR(SUMIFS(Table2[Distinct],Table2[Concept],$F16,Table2[FeatureNo],X$1),"")</f>
        <v>0.16700000000000001</v>
      </c>
      <c r="Y16">
        <f>IFERROR(SUMIFS(Table2[Distinct],Table2[Concept],$F16,Table2[FeatureNo],Y$1),"")</f>
        <v>0.2</v>
      </c>
      <c r="Z16">
        <f>IFERROR(SUMIFS(Table2[Distinct],Table2[Concept],$F16,Table2[FeatureNo],Z$1),"")</f>
        <v>9.0999999999999998E-2</v>
      </c>
      <c r="AA16">
        <f>IFERROR(SUMIFS(Table2[Distinct],Table2[Concept],$F16,Table2[FeatureNo],AA$1),"")</f>
        <v>0.25</v>
      </c>
      <c r="AB16">
        <f>IFERROR(SUMIFS(Table2[Distinct],Table2[Concept],$F16,Table2[FeatureNo],AB$1),"")</f>
        <v>9.0999999999999998E-2</v>
      </c>
      <c r="AC16">
        <f>IFERROR(SUMIFS(Table2[Distinct],Table2[Concept],$F16,Table2[FeatureNo],AC$1),"")</f>
        <v>0.111</v>
      </c>
      <c r="AD16">
        <f>IFERROR(SUMIFS(Table2[Distinct],Table2[Concept],$F16,Table2[FeatureNo],AD$1),"")</f>
        <v>0.2</v>
      </c>
    </row>
    <row r="17" spans="1:30" x14ac:dyDescent="0.3">
      <c r="A17" t="str" cm="1">
        <f t="array" ref="A17">_xlfn.LET(_xlpm.n,ROWS(A$2:A17),_xlpm.block,QUOTIENT(_xlpm.n-1,10),_xlpm.conceptRow,6+_xlpm.block*11,IF(INDEX(Curation!$A:$A,_xlpm.conceptRow)="","",INDEX(Curation!$A:$A,_xlpm.conceptRow)))</f>
        <v>asztal</v>
      </c>
      <c r="B17" t="s">
        <v>477</v>
      </c>
      <c r="C17" cm="1">
        <f t="array" ref="C17">_xlfn.LET(_xlpm.n,ROWS(C$2:C17),_xlpm.block,QUOTIENT(_xlpm.n-1,10),_xlpm.pos,MOD(_xlpm.n-1,10),_xlpm.conceptRow,6+_xlpm.block*11,_xlpm.srcRow,_xlpm.conceptRow+_xlpm.pos,IF(INDEX(Curation!$A:$A,_xlpm.conceptRow)="","",INDEX(Curation!$E:$E,_xlpm.srcRow)))</f>
        <v>7</v>
      </c>
      <c r="D17" cm="1">
        <f t="array" ref="D17">_xlfn.LET(_xlpm.n,ROWS(D$2:D17),_xlpm.block,QUOTIENT(_xlpm.n-1,10),_xlpm.pos,MOD(_xlpm.n-1,10),_xlpm.conceptRow,6+_xlpm.block*11,_xlpm.srcRow,_xlpm.conceptRow+_xlpm.pos,IF(INDEX(Curation!$A:$A,_xlpm.conceptRow)="","",INDEX(Curation!$F:$F,_xlpm.srcRow)))</f>
        <v>8.3000000000000004E-2</v>
      </c>
      <c r="F17" t="str">
        <v>kard</v>
      </c>
      <c r="G17">
        <f>IFERROR(SUMIFS(Table2[Frequency],Table2[Concept],$F17,Table2[FeatureNo],G$1),"")</f>
        <v>3</v>
      </c>
      <c r="H17">
        <f>IFERROR(SUMIFS(Table2[Frequency],Table2[Concept],$F17,Table2[FeatureNo],H$1),"")</f>
        <v>11</v>
      </c>
      <c r="I17">
        <f>IFERROR(SUMIFS(Table2[Frequency],Table2[Concept],$F17,Table2[FeatureNo],I$1),"")</f>
        <v>4</v>
      </c>
      <c r="J17">
        <f>IFERROR(SUMIFS(Table2[Frequency],Table2[Concept],$F17,Table2[FeatureNo],J$1),"")</f>
        <v>1</v>
      </c>
      <c r="K17">
        <f>IFERROR(SUMIFS(Table2[Frequency],Table2[Concept],$F17,Table2[FeatureNo],K$1),"")</f>
        <v>1</v>
      </c>
      <c r="L17">
        <f>IFERROR(SUMIFS(Table2[Frequency],Table2[Concept],$F17,Table2[FeatureNo],L$1),"")</f>
        <v>1</v>
      </c>
      <c r="M17">
        <f>IFERROR(SUMIFS(Table2[Frequency],Table2[Concept],$F17,Table2[FeatureNo],M$1),"")</f>
        <v>1</v>
      </c>
      <c r="N17">
        <f>IFERROR(SUMIFS(Table2[Frequency],Table2[Concept],$F17,Table2[FeatureNo],N$1),"")</f>
        <v>1</v>
      </c>
      <c r="O17">
        <f>IFERROR(SUMIFS(Table2[Frequency],Table2[Concept],$F17,Table2[FeatureNo],O$1),"")</f>
        <v>4</v>
      </c>
      <c r="P17" t="str">
        <f>IFERROR(SUMIFS(Table2[Frequency],Table2[Concept],$F17,Table2[FeatureNo],P$1),"")</f>
        <v/>
      </c>
      <c r="T17" t="str">
        <v>kard</v>
      </c>
      <c r="U17">
        <f>IFERROR(SUMIFS(Table2[Distinct],Table2[Concept],$F17,Table2[FeatureNo],U$1),"")</f>
        <v>0.16700000000000001</v>
      </c>
      <c r="V17">
        <f>IFERROR(SUMIFS(Table2[Distinct],Table2[Concept],$F17,Table2[FeatureNo],V$1),"")</f>
        <v>0.2</v>
      </c>
      <c r="W17">
        <f>IFERROR(SUMIFS(Table2[Distinct],Table2[Concept],$F17,Table2[FeatureNo],W$1),"")</f>
        <v>9.0999999999999998E-2</v>
      </c>
      <c r="X17">
        <f>IFERROR(SUMIFS(Table2[Distinct],Table2[Concept],$F17,Table2[FeatureNo],X$1),"")</f>
        <v>0.1</v>
      </c>
      <c r="Y17">
        <f>IFERROR(SUMIFS(Table2[Distinct],Table2[Concept],$F17,Table2[FeatureNo],Y$1),"")</f>
        <v>0.25</v>
      </c>
      <c r="Z17">
        <f>IFERROR(SUMIFS(Table2[Distinct],Table2[Concept],$F17,Table2[FeatureNo],Z$1),"")</f>
        <v>0.16700000000000001</v>
      </c>
      <c r="AA17">
        <f>IFERROR(SUMIFS(Table2[Distinct],Table2[Concept],$F17,Table2[FeatureNo],AA$1),"")</f>
        <v>0.05</v>
      </c>
      <c r="AB17">
        <f>IFERROR(SUMIFS(Table2[Distinct],Table2[Concept],$F17,Table2[FeatureNo],AB$1),"")</f>
        <v>0.125</v>
      </c>
      <c r="AC17">
        <f>IFERROR(SUMIFS(Table2[Distinct],Table2[Concept],$F17,Table2[FeatureNo],AC$1),"")</f>
        <v>0.33300000000000002</v>
      </c>
      <c r="AD17" t="str">
        <f>IFERROR(SUMIFS(Table2[Distinct],Table2[Concept],$F17,Table2[FeatureNo],AD$1),"")</f>
        <v/>
      </c>
    </row>
    <row r="18" spans="1:30" x14ac:dyDescent="0.3">
      <c r="A18" t="str" cm="1">
        <f t="array" ref="A18">_xlfn.LET(_xlpm.n,ROWS(A$2:A18),_xlpm.block,QUOTIENT(_xlpm.n-1,10),_xlpm.conceptRow,6+_xlpm.block*11,IF(INDEX(Curation!$A:$A,_xlpm.conceptRow)="","",INDEX(Curation!$A:$A,_xlpm.conceptRow)))</f>
        <v>asztal</v>
      </c>
      <c r="B18" t="s">
        <v>478</v>
      </c>
      <c r="C18" cm="1">
        <f t="array" ref="C18">_xlfn.LET(_xlpm.n,ROWS(C$2:C18),_xlpm.block,QUOTIENT(_xlpm.n-1,10),_xlpm.pos,MOD(_xlpm.n-1,10),_xlpm.conceptRow,6+_xlpm.block*11,_xlpm.srcRow,_xlpm.conceptRow+_xlpm.pos,IF(INDEX(Curation!$A:$A,_xlpm.conceptRow)="","",INDEX(Curation!$E:$E,_xlpm.srcRow)))</f>
        <v>5</v>
      </c>
      <c r="D18" cm="1">
        <f t="array" ref="D18">_xlfn.LET(_xlpm.n,ROWS(D$2:D18),_xlpm.block,QUOTIENT(_xlpm.n-1,10),_xlpm.pos,MOD(_xlpm.n-1,10),_xlpm.conceptRow,6+_xlpm.block*11,_xlpm.srcRow,_xlpm.conceptRow+_xlpm.pos,IF(INDEX(Curation!$A:$A,_xlpm.conceptRow)="","",INDEX(Curation!$F:$F,_xlpm.srcRow)))</f>
        <v>0.25</v>
      </c>
      <c r="F18" t="str">
        <v>kéz</v>
      </c>
      <c r="G18">
        <f>IFERROR(SUMIFS(Table2[Frequency],Table2[Concept],$F18,Table2[FeatureNo],G$1),"")</f>
        <v>2</v>
      </c>
      <c r="H18">
        <f>IFERROR(SUMIFS(Table2[Frequency],Table2[Concept],$F18,Table2[FeatureNo],H$1),"")</f>
        <v>3</v>
      </c>
      <c r="I18">
        <f>IFERROR(SUMIFS(Table2[Frequency],Table2[Concept],$F18,Table2[FeatureNo],I$1),"")</f>
        <v>27</v>
      </c>
      <c r="J18">
        <f>IFERROR(SUMIFS(Table2[Frequency],Table2[Concept],$F18,Table2[FeatureNo],J$1),"")</f>
        <v>9</v>
      </c>
      <c r="K18">
        <f>IFERROR(SUMIFS(Table2[Frequency],Table2[Concept],$F18,Table2[FeatureNo],K$1),"")</f>
        <v>1</v>
      </c>
      <c r="L18">
        <f>IFERROR(SUMIFS(Table2[Frequency],Table2[Concept],$F18,Table2[FeatureNo],L$1),"")</f>
        <v>2</v>
      </c>
      <c r="M18">
        <f>IFERROR(SUMIFS(Table2[Frequency],Table2[Concept],$F18,Table2[FeatureNo],M$1),"")</f>
        <v>6</v>
      </c>
      <c r="N18">
        <f>IFERROR(SUMIFS(Table2[Frequency],Table2[Concept],$F18,Table2[FeatureNo],N$1),"")</f>
        <v>1</v>
      </c>
      <c r="O18">
        <f>IFERROR(SUMIFS(Table2[Frequency],Table2[Concept],$F18,Table2[FeatureNo],O$1),"")</f>
        <v>1</v>
      </c>
      <c r="P18">
        <f>IFERROR(SUMIFS(Table2[Frequency],Table2[Concept],$F18,Table2[FeatureNo],P$1),"")</f>
        <v>8</v>
      </c>
      <c r="T18" t="str">
        <v>kéz</v>
      </c>
      <c r="U18">
        <f>IFERROR(SUMIFS(Table2[Distinct],Table2[Concept],$F18,Table2[FeatureNo],U$1),"")</f>
        <v>0.1</v>
      </c>
      <c r="V18">
        <f>IFERROR(SUMIFS(Table2[Distinct],Table2[Concept],$F18,Table2[FeatureNo],V$1),"")</f>
        <v>0.25</v>
      </c>
      <c r="W18">
        <f>IFERROR(SUMIFS(Table2[Distinct],Table2[Concept],$F18,Table2[FeatureNo],W$1),"")</f>
        <v>0.2</v>
      </c>
      <c r="X18">
        <f>IFERROR(SUMIFS(Table2[Distinct],Table2[Concept],$F18,Table2[FeatureNo],X$1),"")</f>
        <v>0.25</v>
      </c>
      <c r="Y18">
        <f>IFERROR(SUMIFS(Table2[Distinct],Table2[Concept],$F18,Table2[FeatureNo],Y$1),"")</f>
        <v>0.14299999999999999</v>
      </c>
      <c r="Z18">
        <f>IFERROR(SUMIFS(Table2[Distinct],Table2[Concept],$F18,Table2[FeatureNo],Z$1),"")</f>
        <v>0.16700000000000001</v>
      </c>
      <c r="AA18">
        <f>IFERROR(SUMIFS(Table2[Distinct],Table2[Concept],$F18,Table2[FeatureNo],AA$1),"")</f>
        <v>0.33300000000000002</v>
      </c>
      <c r="AB18">
        <f>IFERROR(SUMIFS(Table2[Distinct],Table2[Concept],$F18,Table2[FeatureNo],AB$1),"")</f>
        <v>0.33300000000000002</v>
      </c>
      <c r="AC18">
        <f>IFERROR(SUMIFS(Table2[Distinct],Table2[Concept],$F18,Table2[FeatureNo],AC$1),"")</f>
        <v>0.2</v>
      </c>
      <c r="AD18">
        <f>IFERROR(SUMIFS(Table2[Distinct],Table2[Concept],$F18,Table2[FeatureNo],AD$1),"")</f>
        <v>0.33300000000000002</v>
      </c>
    </row>
    <row r="19" spans="1:30" x14ac:dyDescent="0.3">
      <c r="A19" t="str" cm="1">
        <f t="array" ref="A19">_xlfn.LET(_xlpm.n,ROWS(A$2:A19),_xlpm.block,QUOTIENT(_xlpm.n-1,10),_xlpm.conceptRow,6+_xlpm.block*11,IF(INDEX(Curation!$A:$A,_xlpm.conceptRow)="","",INDEX(Curation!$A:$A,_xlpm.conceptRow)))</f>
        <v>asztal</v>
      </c>
      <c r="B19" t="s">
        <v>479</v>
      </c>
      <c r="C19" cm="1">
        <f t="array" ref="C19">_xlfn.LET(_xlpm.n,ROWS(C$2:C19),_xlpm.block,QUOTIENT(_xlpm.n-1,10),_xlpm.pos,MOD(_xlpm.n-1,10),_xlpm.conceptRow,6+_xlpm.block*11,_xlpm.srcRow,_xlpm.conceptRow+_xlpm.pos,IF(INDEX(Curation!$A:$A,_xlpm.conceptRow)="","",INDEX(Curation!$E:$E,_xlpm.srcRow)))</f>
        <v>3</v>
      </c>
      <c r="D19" cm="1">
        <f t="array" ref="D19">_xlfn.LET(_xlpm.n,ROWS(D$2:D19),_xlpm.block,QUOTIENT(_xlpm.n-1,10),_xlpm.pos,MOD(_xlpm.n-1,10),_xlpm.conceptRow,6+_xlpm.block*11,_xlpm.srcRow,_xlpm.conceptRow+_xlpm.pos,IF(INDEX(Curation!$A:$A,_xlpm.conceptRow)="","",INDEX(Curation!$F:$F,_xlpm.srcRow)))</f>
        <v>0.2</v>
      </c>
      <c r="F19" t="str">
        <v>könyv</v>
      </c>
      <c r="G19">
        <f>IFERROR(SUMIFS(Table2[Frequency],Table2[Concept],$F19,Table2[FeatureNo],G$1),"")</f>
        <v>3</v>
      </c>
      <c r="H19">
        <f>IFERROR(SUMIFS(Table2[Frequency],Table2[Concept],$F19,Table2[FeatureNo],H$1),"")</f>
        <v>2</v>
      </c>
      <c r="I19">
        <f>IFERROR(SUMIFS(Table2[Frequency],Table2[Concept],$F19,Table2[FeatureNo],I$1),"")</f>
        <v>1</v>
      </c>
      <c r="J19">
        <f>IFERROR(SUMIFS(Table2[Frequency],Table2[Concept],$F19,Table2[FeatureNo],J$1),"")</f>
        <v>4</v>
      </c>
      <c r="K19">
        <f>IFERROR(SUMIFS(Table2[Frequency],Table2[Concept],$F19,Table2[FeatureNo],K$1),"")</f>
        <v>5</v>
      </c>
      <c r="L19">
        <f>IFERROR(SUMIFS(Table2[Frequency],Table2[Concept],$F19,Table2[FeatureNo],L$1),"")</f>
        <v>3</v>
      </c>
      <c r="M19">
        <f>IFERROR(SUMIFS(Table2[Frequency],Table2[Concept],$F19,Table2[FeatureNo],M$1),"")</f>
        <v>3</v>
      </c>
      <c r="N19">
        <f>IFERROR(SUMIFS(Table2[Frequency],Table2[Concept],$F19,Table2[FeatureNo],N$1),"")</f>
        <v>3</v>
      </c>
      <c r="O19">
        <f>IFERROR(SUMIFS(Table2[Frequency],Table2[Concept],$F19,Table2[FeatureNo],O$1),"")</f>
        <v>6</v>
      </c>
      <c r="P19">
        <f>IFERROR(SUMIFS(Table2[Frequency],Table2[Concept],$F19,Table2[FeatureNo],P$1),"")</f>
        <v>24</v>
      </c>
      <c r="T19" t="str">
        <v>könyv</v>
      </c>
      <c r="U19">
        <f>IFERROR(SUMIFS(Table2[Distinct],Table2[Concept],$F19,Table2[FeatureNo],U$1),"")</f>
        <v>0.14299999999999999</v>
      </c>
      <c r="V19">
        <f>IFERROR(SUMIFS(Table2[Distinct],Table2[Concept],$F19,Table2[FeatureNo],V$1),"")</f>
        <v>0.125</v>
      </c>
      <c r="W19">
        <f>IFERROR(SUMIFS(Table2[Distinct],Table2[Concept],$F19,Table2[FeatureNo],W$1),"")</f>
        <v>0.33300000000000002</v>
      </c>
      <c r="X19">
        <f>IFERROR(SUMIFS(Table2[Distinct],Table2[Concept],$F19,Table2[FeatureNo],X$1),"")</f>
        <v>0.33300000000000002</v>
      </c>
      <c r="Y19">
        <f>IFERROR(SUMIFS(Table2[Distinct],Table2[Concept],$F19,Table2[FeatureNo],Y$1),"")</f>
        <v>0.33300000000000002</v>
      </c>
      <c r="Z19">
        <f>IFERROR(SUMIFS(Table2[Distinct],Table2[Concept],$F19,Table2[FeatureNo],Z$1),"")</f>
        <v>0.16700000000000001</v>
      </c>
      <c r="AA19">
        <f>IFERROR(SUMIFS(Table2[Distinct],Table2[Concept],$F19,Table2[FeatureNo],AA$1),"")</f>
        <v>0.14299999999999999</v>
      </c>
      <c r="AB19">
        <f>IFERROR(SUMIFS(Table2[Distinct],Table2[Concept],$F19,Table2[FeatureNo],AB$1),"")</f>
        <v>9.0999999999999998E-2</v>
      </c>
      <c r="AC19">
        <f>IFERROR(SUMIFS(Table2[Distinct],Table2[Concept],$F19,Table2[FeatureNo],AC$1),"")</f>
        <v>0.33300000000000002</v>
      </c>
      <c r="AD19">
        <f>IFERROR(SUMIFS(Table2[Distinct],Table2[Concept],$F19,Table2[FeatureNo],AD$1),"")</f>
        <v>0.25</v>
      </c>
    </row>
    <row r="20" spans="1:30" x14ac:dyDescent="0.3">
      <c r="A20" t="str" cm="1">
        <f t="array" ref="A20">_xlfn.LET(_xlpm.n,ROWS(A$2:A20),_xlpm.block,QUOTIENT(_xlpm.n-1,10),_xlpm.conceptRow,6+_xlpm.block*11,IF(INDEX(Curation!$A:$A,_xlpm.conceptRow)="","",INDEX(Curation!$A:$A,_xlpm.conceptRow)))</f>
        <v>asztal</v>
      </c>
      <c r="B20" t="s">
        <v>480</v>
      </c>
      <c r="C20" cm="1">
        <f t="array" ref="C20">_xlfn.LET(_xlpm.n,ROWS(C$2:C20),_xlpm.block,QUOTIENT(_xlpm.n-1,10),_xlpm.pos,MOD(_xlpm.n-1,10),_xlpm.conceptRow,6+_xlpm.block*11,_xlpm.srcRow,_xlpm.conceptRow+_xlpm.pos,IF(INDEX(Curation!$A:$A,_xlpm.conceptRow)="","",INDEX(Curation!$E:$E,_xlpm.srcRow)))</f>
        <v>2</v>
      </c>
      <c r="D20" cm="1">
        <f t="array" ref="D20">_xlfn.LET(_xlpm.n,ROWS(D$2:D20),_xlpm.block,QUOTIENT(_xlpm.n-1,10),_xlpm.pos,MOD(_xlpm.n-1,10),_xlpm.conceptRow,6+_xlpm.block*11,_xlpm.srcRow,_xlpm.conceptRow+_xlpm.pos,IF(INDEX(Curation!$A:$A,_xlpm.conceptRow)="","",INDEX(Curation!$F:$F,_xlpm.srcRow)))</f>
        <v>0.25</v>
      </c>
      <c r="F20" t="str">
        <v>krumpli</v>
      </c>
      <c r="G20">
        <f>IFERROR(SUMIFS(Table2[Frequency],Table2[Concept],$F20,Table2[FeatureNo],G$1),"")</f>
        <v>15</v>
      </c>
      <c r="H20">
        <f>IFERROR(SUMIFS(Table2[Frequency],Table2[Concept],$F20,Table2[FeatureNo],H$1),"")</f>
        <v>10</v>
      </c>
      <c r="I20">
        <f>IFERROR(SUMIFS(Table2[Frequency],Table2[Concept],$F20,Table2[FeatureNo],I$1),"")</f>
        <v>8</v>
      </c>
      <c r="J20">
        <f>IFERROR(SUMIFS(Table2[Frequency],Table2[Concept],$F20,Table2[FeatureNo],J$1),"")</f>
        <v>3</v>
      </c>
      <c r="K20">
        <f>IFERROR(SUMIFS(Table2[Frequency],Table2[Concept],$F20,Table2[FeatureNo],K$1),"")</f>
        <v>3</v>
      </c>
      <c r="L20">
        <f>IFERROR(SUMIFS(Table2[Frequency],Table2[Concept],$F20,Table2[FeatureNo],L$1),"")</f>
        <v>2</v>
      </c>
      <c r="M20">
        <f>IFERROR(SUMIFS(Table2[Frequency],Table2[Concept],$F20,Table2[FeatureNo],M$1),"")</f>
        <v>6</v>
      </c>
      <c r="N20">
        <f>IFERROR(SUMIFS(Table2[Frequency],Table2[Concept],$F20,Table2[FeatureNo],N$1),"")</f>
        <v>4</v>
      </c>
      <c r="O20">
        <f>IFERROR(SUMIFS(Table2[Frequency],Table2[Concept],$F20,Table2[FeatureNo],O$1),"")</f>
        <v>1</v>
      </c>
      <c r="P20">
        <f>IFERROR(SUMIFS(Table2[Frequency],Table2[Concept],$F20,Table2[FeatureNo],P$1),"")</f>
        <v>2</v>
      </c>
      <c r="T20" t="str">
        <v>krumpli</v>
      </c>
      <c r="U20">
        <f>IFERROR(SUMIFS(Table2[Distinct],Table2[Concept],$F20,Table2[FeatureNo],U$1),"")</f>
        <v>0.125</v>
      </c>
      <c r="V20">
        <f>IFERROR(SUMIFS(Table2[Distinct],Table2[Concept],$F20,Table2[FeatureNo],V$1),"")</f>
        <v>9.0999999999999998E-2</v>
      </c>
      <c r="W20">
        <f>IFERROR(SUMIFS(Table2[Distinct],Table2[Concept],$F20,Table2[FeatureNo],W$1),"")</f>
        <v>0.25</v>
      </c>
      <c r="X20">
        <f>IFERROR(SUMIFS(Table2[Distinct],Table2[Concept],$F20,Table2[FeatureNo],X$1),"")</f>
        <v>0.33300000000000002</v>
      </c>
      <c r="Y20">
        <f>IFERROR(SUMIFS(Table2[Distinct],Table2[Concept],$F20,Table2[FeatureNo],Y$1),"")</f>
        <v>0.1</v>
      </c>
      <c r="Z20">
        <f>IFERROR(SUMIFS(Table2[Distinct],Table2[Concept],$F20,Table2[FeatureNo],Z$1),"")</f>
        <v>0.2</v>
      </c>
      <c r="AA20">
        <f>IFERROR(SUMIFS(Table2[Distinct],Table2[Concept],$F20,Table2[FeatureNo],AA$1),"")</f>
        <v>0.2</v>
      </c>
      <c r="AB20">
        <f>IFERROR(SUMIFS(Table2[Distinct],Table2[Concept],$F20,Table2[FeatureNo],AB$1),"")</f>
        <v>0.111</v>
      </c>
      <c r="AC20">
        <f>IFERROR(SUMIFS(Table2[Distinct],Table2[Concept],$F20,Table2[FeatureNo],AC$1),"")</f>
        <v>0.2</v>
      </c>
      <c r="AD20">
        <f>IFERROR(SUMIFS(Table2[Distinct],Table2[Concept],$F20,Table2[FeatureNo],AD$1),"")</f>
        <v>0.2</v>
      </c>
    </row>
    <row r="21" spans="1:30" x14ac:dyDescent="0.3">
      <c r="A21" t="str" cm="1">
        <f t="array" ref="A21">_xlfn.LET(_xlpm.n,ROWS(A$2:A21),_xlpm.block,QUOTIENT(_xlpm.n-1,10),_xlpm.conceptRow,6+_xlpm.block*11,IF(INDEX(Curation!$A:$A,_xlpm.conceptRow)="","",INDEX(Curation!$A:$A,_xlpm.conceptRow)))</f>
        <v>asztal</v>
      </c>
      <c r="B21" t="s">
        <v>481</v>
      </c>
      <c r="C21" cm="1">
        <f t="array" ref="C21">_xlfn.LET(_xlpm.n,ROWS(C$2:C21),_xlpm.block,QUOTIENT(_xlpm.n-1,10),_xlpm.pos,MOD(_xlpm.n-1,10),_xlpm.conceptRow,6+_xlpm.block*11,_xlpm.srcRow,_xlpm.conceptRow+_xlpm.pos,IF(INDEX(Curation!$A:$A,_xlpm.conceptRow)="","",INDEX(Curation!$E:$E,_xlpm.srcRow)))</f>
        <v>11</v>
      </c>
      <c r="D21" cm="1">
        <f t="array" ref="D21">_xlfn.LET(_xlpm.n,ROWS(D$2:D21),_xlpm.block,QUOTIENT(_xlpm.n-1,10),_xlpm.pos,MOD(_xlpm.n-1,10),_xlpm.conceptRow,6+_xlpm.block*11,_xlpm.srcRow,_xlpm.conceptRow+_xlpm.pos,IF(INDEX(Curation!$A:$A,_xlpm.conceptRow)="","",INDEX(Curation!$F:$F,_xlpm.srcRow)))</f>
        <v>0.25</v>
      </c>
      <c r="F21" t="str">
        <v>kutya</v>
      </c>
      <c r="G21">
        <f>IFERROR(SUMIFS(Table2[Frequency],Table2[Concept],$F21,Table2[FeatureNo],G$1),"")</f>
        <v>5</v>
      </c>
      <c r="H21">
        <f>IFERROR(SUMIFS(Table2[Frequency],Table2[Concept],$F21,Table2[FeatureNo],H$1),"")</f>
        <v>10</v>
      </c>
      <c r="I21">
        <f>IFERROR(SUMIFS(Table2[Frequency],Table2[Concept],$F21,Table2[FeatureNo],I$1),"")</f>
        <v>6</v>
      </c>
      <c r="J21">
        <f>IFERROR(SUMIFS(Table2[Frequency],Table2[Concept],$F21,Table2[FeatureNo],J$1),"")</f>
        <v>8</v>
      </c>
      <c r="K21">
        <f>IFERROR(SUMIFS(Table2[Frequency],Table2[Concept],$F21,Table2[FeatureNo],K$1),"")</f>
        <v>7</v>
      </c>
      <c r="L21">
        <f>IFERROR(SUMIFS(Table2[Frequency],Table2[Concept],$F21,Table2[FeatureNo],L$1),"")</f>
        <v>6</v>
      </c>
      <c r="M21">
        <f>IFERROR(SUMIFS(Table2[Frequency],Table2[Concept],$F21,Table2[FeatureNo],M$1),"")</f>
        <v>1</v>
      </c>
      <c r="N21">
        <f>IFERROR(SUMIFS(Table2[Frequency],Table2[Concept],$F21,Table2[FeatureNo],N$1),"")</f>
        <v>2</v>
      </c>
      <c r="O21">
        <f>IFERROR(SUMIFS(Table2[Frequency],Table2[Concept],$F21,Table2[FeatureNo],O$1),"")</f>
        <v>11</v>
      </c>
      <c r="P21">
        <f>IFERROR(SUMIFS(Table2[Frequency],Table2[Concept],$F21,Table2[FeatureNo],P$1),"")</f>
        <v>17</v>
      </c>
      <c r="T21" t="str">
        <v>kutya</v>
      </c>
      <c r="U21">
        <f>IFERROR(SUMIFS(Table2[Distinct],Table2[Concept],$F21,Table2[FeatureNo],U$1),"")</f>
        <v>0.16700000000000001</v>
      </c>
      <c r="V21">
        <f>IFERROR(SUMIFS(Table2[Distinct],Table2[Concept],$F21,Table2[FeatureNo],V$1),"")</f>
        <v>0.33300000000000002</v>
      </c>
      <c r="W21">
        <f>IFERROR(SUMIFS(Table2[Distinct],Table2[Concept],$F21,Table2[FeatureNo],W$1),"")</f>
        <v>9.0999999999999998E-2</v>
      </c>
      <c r="X21">
        <f>IFERROR(SUMIFS(Table2[Distinct],Table2[Concept],$F21,Table2[FeatureNo],X$1),"")</f>
        <v>0.33300000000000002</v>
      </c>
      <c r="Y21">
        <f>IFERROR(SUMIFS(Table2[Distinct],Table2[Concept],$F21,Table2[FeatureNo],Y$1),"")</f>
        <v>0.25</v>
      </c>
      <c r="Z21">
        <f>IFERROR(SUMIFS(Table2[Distinct],Table2[Concept],$F21,Table2[FeatureNo],Z$1),"")</f>
        <v>0.33300000000000002</v>
      </c>
      <c r="AA21">
        <f>IFERROR(SUMIFS(Table2[Distinct],Table2[Concept],$F21,Table2[FeatureNo],AA$1),"")</f>
        <v>0.25</v>
      </c>
      <c r="AB21">
        <f>IFERROR(SUMIFS(Table2[Distinct],Table2[Concept],$F21,Table2[FeatureNo],AB$1),"")</f>
        <v>0.111</v>
      </c>
      <c r="AC21">
        <f>IFERROR(SUMIFS(Table2[Distinct],Table2[Concept],$F21,Table2[FeatureNo],AC$1),"")</f>
        <v>0.2</v>
      </c>
      <c r="AD21">
        <f>IFERROR(SUMIFS(Table2[Distinct],Table2[Concept],$F21,Table2[FeatureNo],AD$1),"")</f>
        <v>0.33300000000000002</v>
      </c>
    </row>
    <row r="22" spans="1:30" x14ac:dyDescent="0.3">
      <c r="A22" t="str" cm="1">
        <f t="array" ref="A22">_xlfn.LET(_xlpm.n,ROWS(A$2:A22),_xlpm.block,QUOTIENT(_xlpm.n-1,10),_xlpm.conceptRow,6+_xlpm.block*11,IF(INDEX(Curation!$A:$A,_xlpm.conceptRow)="","",INDEX(Curation!$A:$A,_xlpm.conceptRow)))</f>
        <v>autó</v>
      </c>
      <c r="B22" t="s">
        <v>472</v>
      </c>
      <c r="C22" cm="1">
        <f t="array" ref="C22">_xlfn.LET(_xlpm.n,ROWS(C$2:C22),_xlpm.block,QUOTIENT(_xlpm.n-1,10),_xlpm.pos,MOD(_xlpm.n-1,10),_xlpm.conceptRow,6+_xlpm.block*11,_xlpm.srcRow,_xlpm.conceptRow+_xlpm.pos,IF(INDEX(Curation!$A:$A,_xlpm.conceptRow)="","",INDEX(Curation!$E:$E,_xlpm.srcRow)))</f>
        <v>11</v>
      </c>
      <c r="D22" cm="1">
        <f t="array" ref="D22">_xlfn.LET(_xlpm.n,ROWS(D$2:D22),_xlpm.block,QUOTIENT(_xlpm.n-1,10),_xlpm.pos,MOD(_xlpm.n-1,10),_xlpm.conceptRow,6+_xlpm.block*11,_xlpm.srcRow,_xlpm.conceptRow+_xlpm.pos,IF(INDEX(Curation!$A:$A,_xlpm.conceptRow)="","",INDEX(Curation!$F:$F,_xlpm.srcRow)))</f>
        <v>0.33300000000000002</v>
      </c>
      <c r="F22" t="str">
        <v>láb</v>
      </c>
      <c r="G22">
        <f>IFERROR(SUMIFS(Table2[Frequency],Table2[Concept],$F22,Table2[FeatureNo],G$1),"")</f>
        <v>3</v>
      </c>
      <c r="H22">
        <f>IFERROR(SUMIFS(Table2[Frequency],Table2[Concept],$F22,Table2[FeatureNo],H$1),"")</f>
        <v>3</v>
      </c>
      <c r="I22">
        <f>IFERROR(SUMIFS(Table2[Frequency],Table2[Concept],$F22,Table2[FeatureNo],I$1),"")</f>
        <v>11</v>
      </c>
      <c r="J22">
        <f>IFERROR(SUMIFS(Table2[Frequency],Table2[Concept],$F22,Table2[FeatureNo],J$1),"")</f>
        <v>18</v>
      </c>
      <c r="K22">
        <f>IFERROR(SUMIFS(Table2[Frequency],Table2[Concept],$F22,Table2[FeatureNo],K$1),"")</f>
        <v>11</v>
      </c>
      <c r="L22">
        <f>IFERROR(SUMIFS(Table2[Frequency],Table2[Concept],$F22,Table2[FeatureNo],L$1),"")</f>
        <v>7</v>
      </c>
      <c r="M22">
        <f>IFERROR(SUMIFS(Table2[Frequency],Table2[Concept],$F22,Table2[FeatureNo],M$1),"")</f>
        <v>3</v>
      </c>
      <c r="N22">
        <f>IFERROR(SUMIFS(Table2[Frequency],Table2[Concept],$F22,Table2[FeatureNo],N$1),"")</f>
        <v>2</v>
      </c>
      <c r="O22">
        <f>IFERROR(SUMIFS(Table2[Frequency],Table2[Concept],$F22,Table2[FeatureNo],O$1),"")</f>
        <v>1</v>
      </c>
      <c r="P22">
        <f>IFERROR(SUMIFS(Table2[Frequency],Table2[Concept],$F22,Table2[FeatureNo],P$1),"")</f>
        <v>2</v>
      </c>
      <c r="T22" t="str">
        <v>láb</v>
      </c>
      <c r="U22">
        <f>IFERROR(SUMIFS(Table2[Distinct],Table2[Concept],$F22,Table2[FeatureNo],U$1),"")</f>
        <v>0.1</v>
      </c>
      <c r="V22">
        <f>IFERROR(SUMIFS(Table2[Distinct],Table2[Concept],$F22,Table2[FeatureNo],V$1),"")</f>
        <v>0.33300000000000002</v>
      </c>
      <c r="W22">
        <f>IFERROR(SUMIFS(Table2[Distinct],Table2[Concept],$F22,Table2[FeatureNo],W$1),"")</f>
        <v>0.2</v>
      </c>
      <c r="X22">
        <f>IFERROR(SUMIFS(Table2[Distinct],Table2[Concept],$F22,Table2[FeatureNo],X$1),"")</f>
        <v>0.2</v>
      </c>
      <c r="Y22">
        <f>IFERROR(SUMIFS(Table2[Distinct],Table2[Concept],$F22,Table2[FeatureNo],Y$1),"")</f>
        <v>0.33300000000000002</v>
      </c>
      <c r="Z22">
        <f>IFERROR(SUMIFS(Table2[Distinct],Table2[Concept],$F22,Table2[FeatureNo],Z$1),"")</f>
        <v>0.33300000000000002</v>
      </c>
      <c r="AA22">
        <f>IFERROR(SUMIFS(Table2[Distinct],Table2[Concept],$F22,Table2[FeatureNo],AA$1),"")</f>
        <v>9.0999999999999998E-2</v>
      </c>
      <c r="AB22">
        <f>IFERROR(SUMIFS(Table2[Distinct],Table2[Concept],$F22,Table2[FeatureNo],AB$1),"")</f>
        <v>0.33300000000000002</v>
      </c>
      <c r="AC22">
        <f>IFERROR(SUMIFS(Table2[Distinct],Table2[Concept],$F22,Table2[FeatureNo],AC$1),"")</f>
        <v>0.25</v>
      </c>
      <c r="AD22">
        <f>IFERROR(SUMIFS(Table2[Distinct],Table2[Concept],$F22,Table2[FeatureNo],AD$1),"")</f>
        <v>0.25</v>
      </c>
    </row>
    <row r="23" spans="1:30" x14ac:dyDescent="0.3">
      <c r="A23" t="str" cm="1">
        <f t="array" ref="A23">_xlfn.LET(_xlpm.n,ROWS(A$2:A23),_xlpm.block,QUOTIENT(_xlpm.n-1,10),_xlpm.conceptRow,6+_xlpm.block*11,IF(INDEX(Curation!$A:$A,_xlpm.conceptRow)="","",INDEX(Curation!$A:$A,_xlpm.conceptRow)))</f>
        <v>autó</v>
      </c>
      <c r="B23" t="s">
        <v>473</v>
      </c>
      <c r="C23" cm="1">
        <f t="array" ref="C23">_xlfn.LET(_xlpm.n,ROWS(C$2:C23),_xlpm.block,QUOTIENT(_xlpm.n-1,10),_xlpm.pos,MOD(_xlpm.n-1,10),_xlpm.conceptRow,6+_xlpm.block*11,_xlpm.srcRow,_xlpm.conceptRow+_xlpm.pos,IF(INDEX(Curation!$A:$A,_xlpm.conceptRow)="","",INDEX(Curation!$E:$E,_xlpm.srcRow)))</f>
        <v>3</v>
      </c>
      <c r="D23" cm="1">
        <f t="array" ref="D23">_xlfn.LET(_xlpm.n,ROWS(D$2:D23),_xlpm.block,QUOTIENT(_xlpm.n-1,10),_xlpm.pos,MOD(_xlpm.n-1,10),_xlpm.conceptRow,6+_xlpm.block*11,_xlpm.srcRow,_xlpm.conceptRow+_xlpm.pos,IF(INDEX(Curation!$A:$A,_xlpm.conceptRow)="","",INDEX(Curation!$F:$F,_xlpm.srcRow)))</f>
        <v>0.33300000000000002</v>
      </c>
      <c r="F23" t="str">
        <v>ló</v>
      </c>
      <c r="G23">
        <f>IFERROR(SUMIFS(Table2[Frequency],Table2[Concept],$F23,Table2[FeatureNo],G$1),"")</f>
        <v>2</v>
      </c>
      <c r="H23">
        <f>IFERROR(SUMIFS(Table2[Frequency],Table2[Concept],$F23,Table2[FeatureNo],H$1),"")</f>
        <v>9</v>
      </c>
      <c r="I23">
        <f>IFERROR(SUMIFS(Table2[Frequency],Table2[Concept],$F23,Table2[FeatureNo],I$1),"")</f>
        <v>6</v>
      </c>
      <c r="J23">
        <f>IFERROR(SUMIFS(Table2[Frequency],Table2[Concept],$F23,Table2[FeatureNo],J$1),"")</f>
        <v>15</v>
      </c>
      <c r="K23">
        <f>IFERROR(SUMIFS(Table2[Frequency],Table2[Concept],$F23,Table2[FeatureNo],K$1),"")</f>
        <v>4</v>
      </c>
      <c r="L23">
        <f>IFERROR(SUMIFS(Table2[Frequency],Table2[Concept],$F23,Table2[FeatureNo],L$1),"")</f>
        <v>3</v>
      </c>
      <c r="M23">
        <f>IFERROR(SUMIFS(Table2[Frequency],Table2[Concept],$F23,Table2[FeatureNo],M$1),"")</f>
        <v>3</v>
      </c>
      <c r="N23">
        <f>IFERROR(SUMIFS(Table2[Frequency],Table2[Concept],$F23,Table2[FeatureNo],N$1),"")</f>
        <v>5</v>
      </c>
      <c r="O23">
        <f>IFERROR(SUMIFS(Table2[Frequency],Table2[Concept],$F23,Table2[FeatureNo],O$1),"")</f>
        <v>3</v>
      </c>
      <c r="P23">
        <f>IFERROR(SUMIFS(Table2[Frequency],Table2[Concept],$F23,Table2[FeatureNo],P$1),"")</f>
        <v>1</v>
      </c>
      <c r="T23" t="str">
        <v>ló</v>
      </c>
      <c r="U23">
        <f>IFERROR(SUMIFS(Table2[Distinct],Table2[Concept],$F23,Table2[FeatureNo],U$1),"")</f>
        <v>0.16700000000000001</v>
      </c>
      <c r="V23">
        <f>IFERROR(SUMIFS(Table2[Distinct],Table2[Concept],$F23,Table2[FeatureNo],V$1),"")</f>
        <v>0.25</v>
      </c>
      <c r="W23">
        <f>IFERROR(SUMIFS(Table2[Distinct],Table2[Concept],$F23,Table2[FeatureNo],W$1),"")</f>
        <v>0.05</v>
      </c>
      <c r="X23">
        <f>IFERROR(SUMIFS(Table2[Distinct],Table2[Concept],$F23,Table2[FeatureNo],X$1),"")</f>
        <v>0.2</v>
      </c>
      <c r="Y23">
        <f>IFERROR(SUMIFS(Table2[Distinct],Table2[Concept],$F23,Table2[FeatureNo],Y$1),"")</f>
        <v>9.0999999999999998E-2</v>
      </c>
      <c r="Z23">
        <f>IFERROR(SUMIFS(Table2[Distinct],Table2[Concept],$F23,Table2[FeatureNo],Z$1),"")</f>
        <v>0.14299999999999999</v>
      </c>
      <c r="AA23">
        <f>IFERROR(SUMIFS(Table2[Distinct],Table2[Concept],$F23,Table2[FeatureNo],AA$1),"")</f>
        <v>0.16700000000000001</v>
      </c>
      <c r="AB23">
        <f>IFERROR(SUMIFS(Table2[Distinct],Table2[Concept],$F23,Table2[FeatureNo],AB$1),"")</f>
        <v>0.33300000000000002</v>
      </c>
      <c r="AC23">
        <f>IFERROR(SUMIFS(Table2[Distinct],Table2[Concept],$F23,Table2[FeatureNo],AC$1),"")</f>
        <v>0.33300000000000002</v>
      </c>
      <c r="AD23">
        <f>IFERROR(SUMIFS(Table2[Distinct],Table2[Concept],$F23,Table2[FeatureNo],AD$1),"")</f>
        <v>0.25</v>
      </c>
    </row>
    <row r="24" spans="1:30" x14ac:dyDescent="0.3">
      <c r="A24" t="str" cm="1">
        <f t="array" ref="A24">_xlfn.LET(_xlpm.n,ROWS(A$2:A24),_xlpm.block,QUOTIENT(_xlpm.n-1,10),_xlpm.conceptRow,6+_xlpm.block*11,IF(INDEX(Curation!$A:$A,_xlpm.conceptRow)="","",INDEX(Curation!$A:$A,_xlpm.conceptRow)))</f>
        <v>autó</v>
      </c>
      <c r="B24" t="s">
        <v>474</v>
      </c>
      <c r="C24" cm="1">
        <f t="array" ref="C24">_xlfn.LET(_xlpm.n,ROWS(C$2:C24),_xlpm.block,QUOTIENT(_xlpm.n-1,10),_xlpm.pos,MOD(_xlpm.n-1,10),_xlpm.conceptRow,6+_xlpm.block*11,_xlpm.srcRow,_xlpm.conceptRow+_xlpm.pos,IF(INDEX(Curation!$A:$A,_xlpm.conceptRow)="","",INDEX(Curation!$E:$E,_xlpm.srcRow)))</f>
        <v>3</v>
      </c>
      <c r="D24" cm="1">
        <f t="array" ref="D24">_xlfn.LET(_xlpm.n,ROWS(D$2:D24),_xlpm.block,QUOTIENT(_xlpm.n-1,10),_xlpm.pos,MOD(_xlpm.n-1,10),_xlpm.conceptRow,6+_xlpm.block*11,_xlpm.srcRow,_xlpm.conceptRow+_xlpm.pos,IF(INDEX(Curation!$A:$A,_xlpm.conceptRow)="","",INDEX(Curation!$F:$F,_xlpm.srcRow)))</f>
        <v>0.14299999999999999</v>
      </c>
      <c r="F24" t="str">
        <v>nadrág</v>
      </c>
      <c r="G24">
        <f>IFERROR(SUMIFS(Table2[Frequency],Table2[Concept],$F24,Table2[FeatureNo],G$1),"")</f>
        <v>4</v>
      </c>
      <c r="H24">
        <f>IFERROR(SUMIFS(Table2[Frequency],Table2[Concept],$F24,Table2[FeatureNo],H$1),"")</f>
        <v>7</v>
      </c>
      <c r="I24">
        <f>IFERROR(SUMIFS(Table2[Frequency],Table2[Concept],$F24,Table2[FeatureNo],I$1),"")</f>
        <v>2</v>
      </c>
      <c r="J24">
        <f>IFERROR(SUMIFS(Table2[Frequency],Table2[Concept],$F24,Table2[FeatureNo],J$1),"")</f>
        <v>2</v>
      </c>
      <c r="K24">
        <f>IFERROR(SUMIFS(Table2[Frequency],Table2[Concept],$F24,Table2[FeatureNo],K$1),"")</f>
        <v>3</v>
      </c>
      <c r="L24">
        <f>IFERROR(SUMIFS(Table2[Frequency],Table2[Concept],$F24,Table2[FeatureNo],L$1),"")</f>
        <v>3</v>
      </c>
      <c r="M24">
        <f>IFERROR(SUMIFS(Table2[Frequency],Table2[Concept],$F24,Table2[FeatureNo],M$1),"")</f>
        <v>1</v>
      </c>
      <c r="N24">
        <f>IFERROR(SUMIFS(Table2[Frequency],Table2[Concept],$F24,Table2[FeatureNo],N$1),"")</f>
        <v>2</v>
      </c>
      <c r="O24">
        <f>IFERROR(SUMIFS(Table2[Frequency],Table2[Concept],$F24,Table2[FeatureNo],O$1),"")</f>
        <v>1</v>
      </c>
      <c r="P24">
        <f>IFERROR(SUMIFS(Table2[Frequency],Table2[Concept],$F24,Table2[FeatureNo],P$1),"")</f>
        <v>1</v>
      </c>
      <c r="T24" t="str">
        <v>nadrág</v>
      </c>
      <c r="U24">
        <f>IFERROR(SUMIFS(Table2[Distinct],Table2[Concept],$F24,Table2[FeatureNo],U$1),"")</f>
        <v>0.16700000000000001</v>
      </c>
      <c r="V24">
        <f>IFERROR(SUMIFS(Table2[Distinct],Table2[Concept],$F24,Table2[FeatureNo],V$1),"")</f>
        <v>0.14299999999999999</v>
      </c>
      <c r="W24">
        <f>IFERROR(SUMIFS(Table2[Distinct],Table2[Concept],$F24,Table2[FeatureNo],W$1),"")</f>
        <v>0.25</v>
      </c>
      <c r="X24">
        <f>IFERROR(SUMIFS(Table2[Distinct],Table2[Concept],$F24,Table2[FeatureNo],X$1),"")</f>
        <v>0.2</v>
      </c>
      <c r="Y24">
        <f>IFERROR(SUMIFS(Table2[Distinct],Table2[Concept],$F24,Table2[FeatureNo],Y$1),"")</f>
        <v>0.33300000000000002</v>
      </c>
      <c r="Z24">
        <f>IFERROR(SUMIFS(Table2[Distinct],Table2[Concept],$F24,Table2[FeatureNo],Z$1),"")</f>
        <v>9.0999999999999998E-2</v>
      </c>
      <c r="AA24">
        <f>IFERROR(SUMIFS(Table2[Distinct],Table2[Concept],$F24,Table2[FeatureNo],AA$1),"")</f>
        <v>0.111</v>
      </c>
      <c r="AB24">
        <f>IFERROR(SUMIFS(Table2[Distinct],Table2[Concept],$F24,Table2[FeatureNo],AB$1),"")</f>
        <v>0.33300000000000002</v>
      </c>
      <c r="AC24">
        <f>IFERROR(SUMIFS(Table2[Distinct],Table2[Concept],$F24,Table2[FeatureNo],AC$1),"")</f>
        <v>0.25</v>
      </c>
      <c r="AD24">
        <f>IFERROR(SUMIFS(Table2[Distinct],Table2[Concept],$F24,Table2[FeatureNo],AD$1),"")</f>
        <v>0.33300000000000002</v>
      </c>
    </row>
    <row r="25" spans="1:30" x14ac:dyDescent="0.3">
      <c r="A25" t="str" cm="1">
        <f t="array" ref="A25">_xlfn.LET(_xlpm.n,ROWS(A$2:A25),_xlpm.block,QUOTIENT(_xlpm.n-1,10),_xlpm.conceptRow,6+_xlpm.block*11,IF(INDEX(Curation!$A:$A,_xlpm.conceptRow)="","",INDEX(Curation!$A:$A,_xlpm.conceptRow)))</f>
        <v>autó</v>
      </c>
      <c r="B25" t="s">
        <v>475</v>
      </c>
      <c r="C25" cm="1">
        <f t="array" ref="C25">_xlfn.LET(_xlpm.n,ROWS(C$2:C25),_xlpm.block,QUOTIENT(_xlpm.n-1,10),_xlpm.pos,MOD(_xlpm.n-1,10),_xlpm.conceptRow,6+_xlpm.block*11,_xlpm.srcRow,_xlpm.conceptRow+_xlpm.pos,IF(INDEX(Curation!$A:$A,_xlpm.conceptRow)="","",INDEX(Curation!$E:$E,_xlpm.srcRow)))</f>
        <v>10</v>
      </c>
      <c r="D25" cm="1">
        <f t="array" ref="D25">_xlfn.LET(_xlpm.n,ROWS(D$2:D25),_xlpm.block,QUOTIENT(_xlpm.n-1,10),_xlpm.pos,MOD(_xlpm.n-1,10),_xlpm.conceptRow,6+_xlpm.block*11,_xlpm.srcRow,_xlpm.conceptRow+_xlpm.pos,IF(INDEX(Curation!$A:$A,_xlpm.conceptRow)="","",INDEX(Curation!$F:$F,_xlpm.srcRow)))</f>
        <v>0.2</v>
      </c>
      <c r="F25" t="str">
        <v>nappali</v>
      </c>
      <c r="G25">
        <f>IFERROR(SUMIFS(Table2[Frequency],Table2[Concept],$F25,Table2[FeatureNo],G$1),"")</f>
        <v>1</v>
      </c>
      <c r="H25">
        <f>IFERROR(SUMIFS(Table2[Frequency],Table2[Concept],$F25,Table2[FeatureNo],H$1),"")</f>
        <v>8</v>
      </c>
      <c r="I25">
        <f>IFERROR(SUMIFS(Table2[Frequency],Table2[Concept],$F25,Table2[FeatureNo],I$1),"")</f>
        <v>1</v>
      </c>
      <c r="J25">
        <f>IFERROR(SUMIFS(Table2[Frequency],Table2[Concept],$F25,Table2[FeatureNo],J$1),"")</f>
        <v>9</v>
      </c>
      <c r="K25">
        <f>IFERROR(SUMIFS(Table2[Frequency],Table2[Concept],$F25,Table2[FeatureNo],K$1),"")</f>
        <v>3</v>
      </c>
      <c r="L25">
        <f>IFERROR(SUMIFS(Table2[Frequency],Table2[Concept],$F25,Table2[FeatureNo],L$1),"")</f>
        <v>4</v>
      </c>
      <c r="M25">
        <f>IFERROR(SUMIFS(Table2[Frequency],Table2[Concept],$F25,Table2[FeatureNo],M$1),"")</f>
        <v>5</v>
      </c>
      <c r="N25">
        <f>IFERROR(SUMIFS(Table2[Frequency],Table2[Concept],$F25,Table2[FeatureNo],N$1),"")</f>
        <v>2</v>
      </c>
      <c r="O25">
        <f>IFERROR(SUMIFS(Table2[Frequency],Table2[Concept],$F25,Table2[FeatureNo],O$1),"")</f>
        <v>1</v>
      </c>
      <c r="P25">
        <f>IFERROR(SUMIFS(Table2[Frequency],Table2[Concept],$F25,Table2[FeatureNo],P$1),"")</f>
        <v>1</v>
      </c>
      <c r="T25" t="str">
        <v>nappali</v>
      </c>
      <c r="U25">
        <f>IFERROR(SUMIFS(Table2[Distinct],Table2[Concept],$F25,Table2[FeatureNo],U$1),"")</f>
        <v>0.33300000000000002</v>
      </c>
      <c r="V25">
        <f>IFERROR(SUMIFS(Table2[Distinct],Table2[Concept],$F25,Table2[FeatureNo],V$1),"")</f>
        <v>0.1</v>
      </c>
      <c r="W25">
        <f>IFERROR(SUMIFS(Table2[Distinct],Table2[Concept],$F25,Table2[FeatureNo],W$1),"")</f>
        <v>0.33300000000000002</v>
      </c>
      <c r="X25">
        <f>IFERROR(SUMIFS(Table2[Distinct],Table2[Concept],$F25,Table2[FeatureNo],X$1),"")</f>
        <v>8.3000000000000004E-2</v>
      </c>
      <c r="Y25">
        <f>IFERROR(SUMIFS(Table2[Distinct],Table2[Concept],$F25,Table2[FeatureNo],Y$1),"")</f>
        <v>0.25</v>
      </c>
      <c r="Z25">
        <f>IFERROR(SUMIFS(Table2[Distinct],Table2[Concept],$F25,Table2[FeatureNo],Z$1),"")</f>
        <v>0.25</v>
      </c>
      <c r="AA25">
        <f>IFERROR(SUMIFS(Table2[Distinct],Table2[Concept],$F25,Table2[FeatureNo],AA$1),"")</f>
        <v>0.2</v>
      </c>
      <c r="AB25">
        <f>IFERROR(SUMIFS(Table2[Distinct],Table2[Concept],$F25,Table2[FeatureNo],AB$1),"")</f>
        <v>0.33300000000000002</v>
      </c>
      <c r="AC25">
        <f>IFERROR(SUMIFS(Table2[Distinct],Table2[Concept],$F25,Table2[FeatureNo],AC$1),"")</f>
        <v>0.14299999999999999</v>
      </c>
      <c r="AD25">
        <f>IFERROR(SUMIFS(Table2[Distinct],Table2[Concept],$F25,Table2[FeatureNo],AD$1),"")</f>
        <v>0.33300000000000002</v>
      </c>
    </row>
    <row r="26" spans="1:30" x14ac:dyDescent="0.3">
      <c r="A26" t="str" cm="1">
        <f t="array" ref="A26">_xlfn.LET(_xlpm.n,ROWS(A$2:A26),_xlpm.block,QUOTIENT(_xlpm.n-1,10),_xlpm.conceptRow,6+_xlpm.block*11,IF(INDEX(Curation!$A:$A,_xlpm.conceptRow)="","",INDEX(Curation!$A:$A,_xlpm.conceptRow)))</f>
        <v>autó</v>
      </c>
      <c r="B26" t="s">
        <v>476</v>
      </c>
      <c r="C26" cm="1">
        <f t="array" ref="C26">_xlfn.LET(_xlpm.n,ROWS(C$2:C26),_xlpm.block,QUOTIENT(_xlpm.n-1,10),_xlpm.pos,MOD(_xlpm.n-1,10),_xlpm.conceptRow,6+_xlpm.block*11,_xlpm.srcRow,_xlpm.conceptRow+_xlpm.pos,IF(INDEX(Curation!$A:$A,_xlpm.conceptRow)="","",INDEX(Curation!$E:$E,_xlpm.srcRow)))</f>
        <v>6</v>
      </c>
      <c r="D26" cm="1">
        <f t="array" ref="D26">_xlfn.LET(_xlpm.n,ROWS(D$2:D26),_xlpm.block,QUOTIENT(_xlpm.n-1,10),_xlpm.pos,MOD(_xlpm.n-1,10),_xlpm.conceptRow,6+_xlpm.block*11,_xlpm.srcRow,_xlpm.conceptRow+_xlpm.pos,IF(INDEX(Curation!$A:$A,_xlpm.conceptRow)="","",INDEX(Curation!$F:$F,_xlpm.srcRow)))</f>
        <v>0.33300000000000002</v>
      </c>
      <c r="F26" t="str">
        <v>pulóver</v>
      </c>
      <c r="G26">
        <f>IFERROR(SUMIFS(Table2[Frequency],Table2[Concept],$F26,Table2[FeatureNo],G$1),"")</f>
        <v>2</v>
      </c>
      <c r="H26">
        <f>IFERROR(SUMIFS(Table2[Frequency],Table2[Concept],$F26,Table2[FeatureNo],H$1),"")</f>
        <v>4</v>
      </c>
      <c r="I26">
        <f>IFERROR(SUMIFS(Table2[Frequency],Table2[Concept],$F26,Table2[FeatureNo],I$1),"")</f>
        <v>3</v>
      </c>
      <c r="J26">
        <f>IFERROR(SUMIFS(Table2[Frequency],Table2[Concept],$F26,Table2[FeatureNo],J$1),"")</f>
        <v>6</v>
      </c>
      <c r="K26">
        <f>IFERROR(SUMIFS(Table2[Frequency],Table2[Concept],$F26,Table2[FeatureNo],K$1),"")</f>
        <v>4</v>
      </c>
      <c r="L26">
        <f>IFERROR(SUMIFS(Table2[Frequency],Table2[Concept],$F26,Table2[FeatureNo],L$1),"")</f>
        <v>1</v>
      </c>
      <c r="M26">
        <f>IFERROR(SUMIFS(Table2[Frequency],Table2[Concept],$F26,Table2[FeatureNo],M$1),"")</f>
        <v>2</v>
      </c>
      <c r="N26">
        <f>IFERROR(SUMIFS(Table2[Frequency],Table2[Concept],$F26,Table2[FeatureNo],N$1),"")</f>
        <v>2</v>
      </c>
      <c r="O26">
        <f>IFERROR(SUMIFS(Table2[Frequency],Table2[Concept],$F26,Table2[FeatureNo],O$1),"")</f>
        <v>2</v>
      </c>
      <c r="P26">
        <f>IFERROR(SUMIFS(Table2[Frequency],Table2[Concept],$F26,Table2[FeatureNo],P$1),"")</f>
        <v>3</v>
      </c>
      <c r="T26" t="str">
        <v>pulóver</v>
      </c>
      <c r="U26">
        <f>IFERROR(SUMIFS(Table2[Distinct],Table2[Concept],$F26,Table2[FeatureNo],U$1),"")</f>
        <v>0.25</v>
      </c>
      <c r="V26">
        <f>IFERROR(SUMIFS(Table2[Distinct],Table2[Concept],$F26,Table2[FeatureNo],V$1),"")</f>
        <v>0.33300000000000002</v>
      </c>
      <c r="W26">
        <f>IFERROR(SUMIFS(Table2[Distinct],Table2[Concept],$F26,Table2[FeatureNo],W$1),"")</f>
        <v>0.33300000000000002</v>
      </c>
      <c r="X26">
        <f>IFERROR(SUMIFS(Table2[Distinct],Table2[Concept],$F26,Table2[FeatureNo],X$1),"")</f>
        <v>0.14299999999999999</v>
      </c>
      <c r="Y26">
        <f>IFERROR(SUMIFS(Table2[Distinct],Table2[Concept],$F26,Table2[FeatureNo],Y$1),"")</f>
        <v>0.25</v>
      </c>
      <c r="Z26">
        <f>IFERROR(SUMIFS(Table2[Distinct],Table2[Concept],$F26,Table2[FeatureNo],Z$1),"")</f>
        <v>0.25</v>
      </c>
      <c r="AA26">
        <f>IFERROR(SUMIFS(Table2[Distinct],Table2[Concept],$F26,Table2[FeatureNo],AA$1),"")</f>
        <v>0.33300000000000002</v>
      </c>
      <c r="AB26">
        <f>IFERROR(SUMIFS(Table2[Distinct],Table2[Concept],$F26,Table2[FeatureNo],AB$1),"")</f>
        <v>0.16700000000000001</v>
      </c>
      <c r="AC26">
        <f>IFERROR(SUMIFS(Table2[Distinct],Table2[Concept],$F26,Table2[FeatureNo],AC$1),"")</f>
        <v>0.16700000000000001</v>
      </c>
      <c r="AD26">
        <f>IFERROR(SUMIFS(Table2[Distinct],Table2[Concept],$F26,Table2[FeatureNo],AD$1),"")</f>
        <v>0.33300000000000002</v>
      </c>
    </row>
    <row r="27" spans="1:30" x14ac:dyDescent="0.3">
      <c r="A27" t="str" cm="1">
        <f t="array" ref="A27">_xlfn.LET(_xlpm.n,ROWS(A$2:A27),_xlpm.block,QUOTIENT(_xlpm.n-1,10),_xlpm.conceptRow,6+_xlpm.block*11,IF(INDEX(Curation!$A:$A,_xlpm.conceptRow)="","",INDEX(Curation!$A:$A,_xlpm.conceptRow)))</f>
        <v>autó</v>
      </c>
      <c r="B27" t="s">
        <v>477</v>
      </c>
      <c r="C27" cm="1">
        <f t="array" ref="C27">_xlfn.LET(_xlpm.n,ROWS(C$2:C27),_xlpm.block,QUOTIENT(_xlpm.n-1,10),_xlpm.pos,MOD(_xlpm.n-1,10),_xlpm.conceptRow,6+_xlpm.block*11,_xlpm.srcRow,_xlpm.conceptRow+_xlpm.pos,IF(INDEX(Curation!$A:$A,_xlpm.conceptRow)="","",INDEX(Curation!$E:$E,_xlpm.srcRow)))</f>
        <v>5</v>
      </c>
      <c r="D27" cm="1">
        <f t="array" ref="D27">_xlfn.LET(_xlpm.n,ROWS(D$2:D27),_xlpm.block,QUOTIENT(_xlpm.n-1,10),_xlpm.pos,MOD(_xlpm.n-1,10),_xlpm.conceptRow,6+_xlpm.block*11,_xlpm.srcRow,_xlpm.conceptRow+_xlpm.pos,IF(INDEX(Curation!$A:$A,_xlpm.conceptRow)="","",INDEX(Curation!$F:$F,_xlpm.srcRow)))</f>
        <v>0.2</v>
      </c>
      <c r="F27" t="str">
        <v>seprű</v>
      </c>
      <c r="G27">
        <f>IFERROR(SUMIFS(Table2[Frequency],Table2[Concept],$F27,Table2[FeatureNo],G$1),"")</f>
        <v>10</v>
      </c>
      <c r="H27">
        <f>IFERROR(SUMIFS(Table2[Frequency],Table2[Concept],$F27,Table2[FeatureNo],H$1),"")</f>
        <v>1</v>
      </c>
      <c r="I27">
        <f>IFERROR(SUMIFS(Table2[Frequency],Table2[Concept],$F27,Table2[FeatureNo],I$1),"")</f>
        <v>1</v>
      </c>
      <c r="J27">
        <f>IFERROR(SUMIFS(Table2[Frequency],Table2[Concept],$F27,Table2[FeatureNo],J$1),"")</f>
        <v>7</v>
      </c>
      <c r="K27">
        <f>IFERROR(SUMIFS(Table2[Frequency],Table2[Concept],$F27,Table2[FeatureNo],K$1),"")</f>
        <v>2</v>
      </c>
      <c r="L27">
        <f>IFERROR(SUMIFS(Table2[Frequency],Table2[Concept],$F27,Table2[FeatureNo],L$1),"")</f>
        <v>1</v>
      </c>
      <c r="M27">
        <f>IFERROR(SUMIFS(Table2[Frequency],Table2[Concept],$F27,Table2[FeatureNo],M$1),"")</f>
        <v>2</v>
      </c>
      <c r="N27">
        <f>IFERROR(SUMIFS(Table2[Frequency],Table2[Concept],$F27,Table2[FeatureNo],N$1),"")</f>
        <v>1</v>
      </c>
      <c r="O27">
        <f>IFERROR(SUMIFS(Table2[Frequency],Table2[Concept],$F27,Table2[FeatureNo],O$1),"")</f>
        <v>2</v>
      </c>
      <c r="P27">
        <f>IFERROR(SUMIFS(Table2[Frequency],Table2[Concept],$F27,Table2[FeatureNo],P$1),"")</f>
        <v>1</v>
      </c>
      <c r="T27" t="str">
        <v>seprű</v>
      </c>
      <c r="U27">
        <f>IFERROR(SUMIFS(Table2[Distinct],Table2[Concept],$F27,Table2[FeatureNo],U$1),"")</f>
        <v>8.3000000000000004E-2</v>
      </c>
      <c r="V27">
        <f>IFERROR(SUMIFS(Table2[Distinct],Table2[Concept],$F27,Table2[FeatureNo],V$1),"")</f>
        <v>0.14299999999999999</v>
      </c>
      <c r="W27">
        <f>IFERROR(SUMIFS(Table2[Distinct],Table2[Concept],$F27,Table2[FeatureNo],W$1),"")</f>
        <v>0.125</v>
      </c>
      <c r="X27">
        <f>IFERROR(SUMIFS(Table2[Distinct],Table2[Concept],$F27,Table2[FeatureNo],X$1),"")</f>
        <v>0.16700000000000001</v>
      </c>
      <c r="Y27">
        <f>IFERROR(SUMIFS(Table2[Distinct],Table2[Concept],$F27,Table2[FeatureNo],Y$1),"")</f>
        <v>0.25</v>
      </c>
      <c r="Z27">
        <f>IFERROR(SUMIFS(Table2[Distinct],Table2[Concept],$F27,Table2[FeatureNo],Z$1),"")</f>
        <v>0.33300000000000002</v>
      </c>
      <c r="AA27">
        <f>IFERROR(SUMIFS(Table2[Distinct],Table2[Concept],$F27,Table2[FeatureNo],AA$1),"")</f>
        <v>0.125</v>
      </c>
      <c r="AB27">
        <f>IFERROR(SUMIFS(Table2[Distinct],Table2[Concept],$F27,Table2[FeatureNo],AB$1),"")</f>
        <v>9.0999999999999998E-2</v>
      </c>
      <c r="AC27">
        <f>IFERROR(SUMIFS(Table2[Distinct],Table2[Concept],$F27,Table2[FeatureNo],AC$1),"")</f>
        <v>9.0999999999999998E-2</v>
      </c>
      <c r="AD27">
        <f>IFERROR(SUMIFS(Table2[Distinct],Table2[Concept],$F27,Table2[FeatureNo],AD$1),"")</f>
        <v>0.1</v>
      </c>
    </row>
    <row r="28" spans="1:30" x14ac:dyDescent="0.3">
      <c r="A28" t="str" cm="1">
        <f t="array" ref="A28">_xlfn.LET(_xlpm.n,ROWS(A$2:A28),_xlpm.block,QUOTIENT(_xlpm.n-1,10),_xlpm.conceptRow,6+_xlpm.block*11,IF(INDEX(Curation!$A:$A,_xlpm.conceptRow)="","",INDEX(Curation!$A:$A,_xlpm.conceptRow)))</f>
        <v>autó</v>
      </c>
      <c r="B28" t="s">
        <v>478</v>
      </c>
      <c r="C28" cm="1">
        <f t="array" ref="C28">_xlfn.LET(_xlpm.n,ROWS(C$2:C28),_xlpm.block,QUOTIENT(_xlpm.n-1,10),_xlpm.pos,MOD(_xlpm.n-1,10),_xlpm.conceptRow,6+_xlpm.block*11,_xlpm.srcRow,_xlpm.conceptRow+_xlpm.pos,IF(INDEX(Curation!$A:$A,_xlpm.conceptRow)="","",INDEX(Curation!$E:$E,_xlpm.srcRow)))</f>
        <v>2</v>
      </c>
      <c r="D28" cm="1">
        <f t="array" ref="D28">_xlfn.LET(_xlpm.n,ROWS(D$2:D28),_xlpm.block,QUOTIENT(_xlpm.n-1,10),_xlpm.pos,MOD(_xlpm.n-1,10),_xlpm.conceptRow,6+_xlpm.block*11,_xlpm.srcRow,_xlpm.conceptRow+_xlpm.pos,IF(INDEX(Curation!$A:$A,_xlpm.conceptRow)="","",INDEX(Curation!$F:$F,_xlpm.srcRow)))</f>
        <v>0.25</v>
      </c>
      <c r="F28" t="str">
        <v>szem</v>
      </c>
      <c r="G28">
        <f>IFERROR(SUMIFS(Table2[Frequency],Table2[Concept],$F28,Table2[FeatureNo],G$1),"")</f>
        <v>4</v>
      </c>
      <c r="H28">
        <f>IFERROR(SUMIFS(Table2[Frequency],Table2[Concept],$F28,Table2[FeatureNo],H$1),"")</f>
        <v>9</v>
      </c>
      <c r="I28">
        <f>IFERROR(SUMIFS(Table2[Frequency],Table2[Concept],$F28,Table2[FeatureNo],I$1),"")</f>
        <v>7</v>
      </c>
      <c r="J28">
        <f>IFERROR(SUMIFS(Table2[Frequency],Table2[Concept],$F28,Table2[FeatureNo],J$1),"")</f>
        <v>1</v>
      </c>
      <c r="K28">
        <f>IFERROR(SUMIFS(Table2[Frequency],Table2[Concept],$F28,Table2[FeatureNo],K$1),"")</f>
        <v>4</v>
      </c>
      <c r="L28">
        <f>IFERROR(SUMIFS(Table2[Frequency],Table2[Concept],$F28,Table2[FeatureNo],L$1),"")</f>
        <v>9</v>
      </c>
      <c r="M28">
        <f>IFERROR(SUMIFS(Table2[Frequency],Table2[Concept],$F28,Table2[FeatureNo],M$1),"")</f>
        <v>2</v>
      </c>
      <c r="N28">
        <f>IFERROR(SUMIFS(Table2[Frequency],Table2[Concept],$F28,Table2[FeatureNo],N$1),"")</f>
        <v>1</v>
      </c>
      <c r="O28">
        <f>IFERROR(SUMIFS(Table2[Frequency],Table2[Concept],$F28,Table2[FeatureNo],O$1),"")</f>
        <v>9</v>
      </c>
      <c r="P28">
        <f>IFERROR(SUMIFS(Table2[Frequency],Table2[Concept],$F28,Table2[FeatureNo],P$1),"")</f>
        <v>1</v>
      </c>
      <c r="T28" t="str">
        <v>szem</v>
      </c>
      <c r="U28">
        <f>IFERROR(SUMIFS(Table2[Distinct],Table2[Concept],$F28,Table2[FeatureNo],U$1),"")</f>
        <v>0.1</v>
      </c>
      <c r="V28">
        <f>IFERROR(SUMIFS(Table2[Distinct],Table2[Concept],$F28,Table2[FeatureNo],V$1),"")</f>
        <v>9.0999999999999998E-2</v>
      </c>
      <c r="W28">
        <f>IFERROR(SUMIFS(Table2[Distinct],Table2[Concept],$F28,Table2[FeatureNo],W$1),"")</f>
        <v>0.33300000000000002</v>
      </c>
      <c r="X28">
        <f>IFERROR(SUMIFS(Table2[Distinct],Table2[Concept],$F28,Table2[FeatureNo],X$1),"")</f>
        <v>9.0999999999999998E-2</v>
      </c>
      <c r="Y28">
        <f>IFERROR(SUMIFS(Table2[Distinct],Table2[Concept],$F28,Table2[FeatureNo],Y$1),"")</f>
        <v>0.2</v>
      </c>
      <c r="Z28">
        <f>IFERROR(SUMIFS(Table2[Distinct],Table2[Concept],$F28,Table2[FeatureNo],Z$1),"")</f>
        <v>0.2</v>
      </c>
      <c r="AA28">
        <f>IFERROR(SUMIFS(Table2[Distinct],Table2[Concept],$F28,Table2[FeatureNo],AA$1),"")</f>
        <v>0.25</v>
      </c>
      <c r="AB28">
        <f>IFERROR(SUMIFS(Table2[Distinct],Table2[Concept],$F28,Table2[FeatureNo],AB$1),"")</f>
        <v>0.111</v>
      </c>
      <c r="AC28">
        <f>IFERROR(SUMIFS(Table2[Distinct],Table2[Concept],$F28,Table2[FeatureNo],AC$1),"")</f>
        <v>0.111</v>
      </c>
      <c r="AD28">
        <f>IFERROR(SUMIFS(Table2[Distinct],Table2[Concept],$F28,Table2[FeatureNo],AD$1),"")</f>
        <v>0.33300000000000002</v>
      </c>
    </row>
    <row r="29" spans="1:30" x14ac:dyDescent="0.3">
      <c r="A29" t="str" cm="1">
        <f t="array" ref="A29">_xlfn.LET(_xlpm.n,ROWS(A$2:A29),_xlpm.block,QUOTIENT(_xlpm.n-1,10),_xlpm.conceptRow,6+_xlpm.block*11,IF(INDEX(Curation!$A:$A,_xlpm.conceptRow)="","",INDEX(Curation!$A:$A,_xlpm.conceptRow)))</f>
        <v>autó</v>
      </c>
      <c r="B29" t="s">
        <v>479</v>
      </c>
      <c r="C29" cm="1">
        <f t="array" ref="C29">_xlfn.LET(_xlpm.n,ROWS(C$2:C29),_xlpm.block,QUOTIENT(_xlpm.n-1,10),_xlpm.pos,MOD(_xlpm.n-1,10),_xlpm.conceptRow,6+_xlpm.block*11,_xlpm.srcRow,_xlpm.conceptRow+_xlpm.pos,IF(INDEX(Curation!$A:$A,_xlpm.conceptRow)="","",INDEX(Curation!$E:$E,_xlpm.srcRow)))</f>
        <v>1</v>
      </c>
      <c r="D29" cm="1">
        <f t="array" ref="D29">_xlfn.LET(_xlpm.n,ROWS(D$2:D29),_xlpm.block,QUOTIENT(_xlpm.n-1,10),_xlpm.pos,MOD(_xlpm.n-1,10),_xlpm.conceptRow,6+_xlpm.block*11,_xlpm.srcRow,_xlpm.conceptRow+_xlpm.pos,IF(INDEX(Curation!$A:$A,_xlpm.conceptRow)="","",INDEX(Curation!$F:$F,_xlpm.srcRow)))</f>
        <v>0.05</v>
      </c>
      <c r="F29" t="str">
        <v>szőnyeg</v>
      </c>
      <c r="G29">
        <f>IFERROR(SUMIFS(Table2[Frequency],Table2[Concept],$F29,Table2[FeatureNo],G$1),"")</f>
        <v>2</v>
      </c>
      <c r="H29">
        <f>IFERROR(SUMIFS(Table2[Frequency],Table2[Concept],$F29,Table2[FeatureNo],H$1),"")</f>
        <v>1</v>
      </c>
      <c r="I29">
        <f>IFERROR(SUMIFS(Table2[Frequency],Table2[Concept],$F29,Table2[FeatureNo],I$1),"")</f>
        <v>5</v>
      </c>
      <c r="J29">
        <f>IFERROR(SUMIFS(Table2[Frequency],Table2[Concept],$F29,Table2[FeatureNo],J$1),"")</f>
        <v>5</v>
      </c>
      <c r="K29">
        <f>IFERROR(SUMIFS(Table2[Frequency],Table2[Concept],$F29,Table2[FeatureNo],K$1),"")</f>
        <v>1</v>
      </c>
      <c r="L29">
        <f>IFERROR(SUMIFS(Table2[Frequency],Table2[Concept],$F29,Table2[FeatureNo],L$1),"")</f>
        <v>2</v>
      </c>
      <c r="M29">
        <f>IFERROR(SUMIFS(Table2[Frequency],Table2[Concept],$F29,Table2[FeatureNo],M$1),"")</f>
        <v>1</v>
      </c>
      <c r="N29">
        <f>IFERROR(SUMIFS(Table2[Frequency],Table2[Concept],$F29,Table2[FeatureNo],N$1),"")</f>
        <v>3</v>
      </c>
      <c r="O29">
        <f>IFERROR(SUMIFS(Table2[Frequency],Table2[Concept],$F29,Table2[FeatureNo],O$1),"")</f>
        <v>9</v>
      </c>
      <c r="P29">
        <f>IFERROR(SUMIFS(Table2[Frequency],Table2[Concept],$F29,Table2[FeatureNo],P$1),"")</f>
        <v>1</v>
      </c>
      <c r="T29" t="str">
        <v>szőnyeg</v>
      </c>
      <c r="U29">
        <f>IFERROR(SUMIFS(Table2[Distinct],Table2[Concept],$F29,Table2[FeatureNo],U$1),"")</f>
        <v>0.25</v>
      </c>
      <c r="V29">
        <f>IFERROR(SUMIFS(Table2[Distinct],Table2[Concept],$F29,Table2[FeatureNo],V$1),"")</f>
        <v>0.25</v>
      </c>
      <c r="W29">
        <f>IFERROR(SUMIFS(Table2[Distinct],Table2[Concept],$F29,Table2[FeatureNo],W$1),"")</f>
        <v>0.05</v>
      </c>
      <c r="X29">
        <f>IFERROR(SUMIFS(Table2[Distinct],Table2[Concept],$F29,Table2[FeatureNo],X$1),"")</f>
        <v>0.2</v>
      </c>
      <c r="Y29">
        <f>IFERROR(SUMIFS(Table2[Distinct],Table2[Concept],$F29,Table2[FeatureNo],Y$1),"")</f>
        <v>0.25</v>
      </c>
      <c r="Z29">
        <f>IFERROR(SUMIFS(Table2[Distinct],Table2[Concept],$F29,Table2[FeatureNo],Z$1),"")</f>
        <v>0.33300000000000002</v>
      </c>
      <c r="AA29">
        <f>IFERROR(SUMIFS(Table2[Distinct],Table2[Concept],$F29,Table2[FeatureNo],AA$1),"")</f>
        <v>0.33300000000000002</v>
      </c>
      <c r="AB29">
        <f>IFERROR(SUMIFS(Table2[Distinct],Table2[Concept],$F29,Table2[FeatureNo],AB$1),"")</f>
        <v>0.2</v>
      </c>
      <c r="AC29">
        <f>IFERROR(SUMIFS(Table2[Distinct],Table2[Concept],$F29,Table2[FeatureNo],AC$1),"")</f>
        <v>0.16700000000000001</v>
      </c>
      <c r="AD29">
        <f>IFERROR(SUMIFS(Table2[Distinct],Table2[Concept],$F29,Table2[FeatureNo],AD$1),"")</f>
        <v>0.125</v>
      </c>
    </row>
    <row r="30" spans="1:30" x14ac:dyDescent="0.3">
      <c r="A30" t="str" cm="1">
        <f t="array" ref="A30">_xlfn.LET(_xlpm.n,ROWS(A$2:A30),_xlpm.block,QUOTIENT(_xlpm.n-1,10),_xlpm.conceptRow,6+_xlpm.block*11,IF(INDEX(Curation!$A:$A,_xlpm.conceptRow)="","",INDEX(Curation!$A:$A,_xlpm.conceptRow)))</f>
        <v>autó</v>
      </c>
      <c r="B30" t="s">
        <v>480</v>
      </c>
      <c r="C30" cm="1">
        <f t="array" ref="C30">_xlfn.LET(_xlpm.n,ROWS(C$2:C30),_xlpm.block,QUOTIENT(_xlpm.n-1,10),_xlpm.pos,MOD(_xlpm.n-1,10),_xlpm.conceptRow,6+_xlpm.block*11,_xlpm.srcRow,_xlpm.conceptRow+_xlpm.pos,IF(INDEX(Curation!$A:$A,_xlpm.conceptRow)="","",INDEX(Curation!$E:$E,_xlpm.srcRow)))</f>
        <v>2</v>
      </c>
      <c r="D30" cm="1">
        <f t="array" ref="D30">_xlfn.LET(_xlpm.n,ROWS(D$2:D30),_xlpm.block,QUOTIENT(_xlpm.n-1,10),_xlpm.pos,MOD(_xlpm.n-1,10),_xlpm.conceptRow,6+_xlpm.block*11,_xlpm.srcRow,_xlpm.conceptRow+_xlpm.pos,IF(INDEX(Curation!$A:$A,_xlpm.conceptRow)="","",INDEX(Curation!$F:$F,_xlpm.srcRow)))</f>
        <v>0.25</v>
      </c>
      <c r="F30" t="str">
        <v>tűzoltó</v>
      </c>
      <c r="G30">
        <f>IFERROR(SUMIFS(Table2[Frequency],Table2[Concept],$F30,Table2[FeatureNo],G$1),"")</f>
        <v>1</v>
      </c>
      <c r="H30">
        <f>IFERROR(SUMIFS(Table2[Frequency],Table2[Concept],$F30,Table2[FeatureNo],H$1),"")</f>
        <v>3</v>
      </c>
      <c r="I30">
        <f>IFERROR(SUMIFS(Table2[Frequency],Table2[Concept],$F30,Table2[FeatureNo],I$1),"")</f>
        <v>3</v>
      </c>
      <c r="J30">
        <f>IFERROR(SUMIFS(Table2[Frequency],Table2[Concept],$F30,Table2[FeatureNo],J$1),"")</f>
        <v>2</v>
      </c>
      <c r="K30">
        <f>IFERROR(SUMIFS(Table2[Frequency],Table2[Concept],$F30,Table2[FeatureNo],K$1),"")</f>
        <v>3</v>
      </c>
      <c r="L30">
        <f>IFERROR(SUMIFS(Table2[Frequency],Table2[Concept],$F30,Table2[FeatureNo],L$1),"")</f>
        <v>4</v>
      </c>
      <c r="M30">
        <f>IFERROR(SUMIFS(Table2[Frequency],Table2[Concept],$F30,Table2[FeatureNo],M$1),"")</f>
        <v>1</v>
      </c>
      <c r="N30">
        <f>IFERROR(SUMIFS(Table2[Frequency],Table2[Concept],$F30,Table2[FeatureNo],N$1),"")</f>
        <v>1</v>
      </c>
      <c r="O30">
        <f>IFERROR(SUMIFS(Table2[Frequency],Table2[Concept],$F30,Table2[FeatureNo],O$1),"")</f>
        <v>1</v>
      </c>
      <c r="P30">
        <f>IFERROR(SUMIFS(Table2[Frequency],Table2[Concept],$F30,Table2[FeatureNo],P$1),"")</f>
        <v>3</v>
      </c>
      <c r="T30" t="str">
        <v>tűzoltó</v>
      </c>
      <c r="U30">
        <f>IFERROR(SUMIFS(Table2[Distinct],Table2[Concept],$F30,Table2[FeatureNo],U$1),"")</f>
        <v>0.14299999999999999</v>
      </c>
      <c r="V30">
        <f>IFERROR(SUMIFS(Table2[Distinct],Table2[Concept],$F30,Table2[FeatureNo],V$1),"")</f>
        <v>0.33300000000000002</v>
      </c>
      <c r="W30">
        <f>IFERROR(SUMIFS(Table2[Distinct],Table2[Concept],$F30,Table2[FeatureNo],W$1),"")</f>
        <v>0.33300000000000002</v>
      </c>
      <c r="X30">
        <f>IFERROR(SUMIFS(Table2[Distinct],Table2[Concept],$F30,Table2[FeatureNo],X$1),"")</f>
        <v>0.125</v>
      </c>
      <c r="Y30">
        <f>IFERROR(SUMIFS(Table2[Distinct],Table2[Concept],$F30,Table2[FeatureNo],Y$1),"")</f>
        <v>0.33300000000000002</v>
      </c>
      <c r="Z30">
        <f>IFERROR(SUMIFS(Table2[Distinct],Table2[Concept],$F30,Table2[FeatureNo],Z$1),"")</f>
        <v>8.3000000000000004E-2</v>
      </c>
      <c r="AA30">
        <f>IFERROR(SUMIFS(Table2[Distinct],Table2[Concept],$F30,Table2[FeatureNo],AA$1),"")</f>
        <v>0.25</v>
      </c>
      <c r="AB30">
        <f>IFERROR(SUMIFS(Table2[Distinct],Table2[Concept],$F30,Table2[FeatureNo],AB$1),"")</f>
        <v>0.25</v>
      </c>
      <c r="AC30">
        <f>IFERROR(SUMIFS(Table2[Distinct],Table2[Concept],$F30,Table2[FeatureNo],AC$1),"")</f>
        <v>0.33300000000000002</v>
      </c>
      <c r="AD30">
        <f>IFERROR(SUMIFS(Table2[Distinct],Table2[Concept],$F30,Table2[FeatureNo],AD$1),"")</f>
        <v>0.33300000000000002</v>
      </c>
    </row>
    <row r="31" spans="1:30" x14ac:dyDescent="0.3">
      <c r="A31" t="str" cm="1">
        <f t="array" ref="A31">_xlfn.LET(_xlpm.n,ROWS(A$2:A31),_xlpm.block,QUOTIENT(_xlpm.n-1,10),_xlpm.conceptRow,6+_xlpm.block*11,IF(INDEX(Curation!$A:$A,_xlpm.conceptRow)="","",INDEX(Curation!$A:$A,_xlpm.conceptRow)))</f>
        <v>autó</v>
      </c>
      <c r="B31" t="s">
        <v>481</v>
      </c>
      <c r="C31" cm="1">
        <f t="array" ref="C31">_xlfn.LET(_xlpm.n,ROWS(C$2:C31),_xlpm.block,QUOTIENT(_xlpm.n-1,10),_xlpm.pos,MOD(_xlpm.n-1,10),_xlpm.conceptRow,6+_xlpm.block*11,_xlpm.srcRow,_xlpm.conceptRow+_xlpm.pos,IF(INDEX(Curation!$A:$A,_xlpm.conceptRow)="","",INDEX(Curation!$E:$E,_xlpm.srcRow)))</f>
        <v>5</v>
      </c>
      <c r="D31" cm="1">
        <f t="array" ref="D31">_xlfn.LET(_xlpm.n,ROWS(D$2:D31),_xlpm.block,QUOTIENT(_xlpm.n-1,10),_xlpm.pos,MOD(_xlpm.n-1,10),_xlpm.conceptRow,6+_xlpm.block*11,_xlpm.srcRow,_xlpm.conceptRow+_xlpm.pos,IF(INDEX(Curation!$A:$A,_xlpm.conceptRow)="","",INDEX(Curation!$F:$F,_xlpm.srcRow)))</f>
        <v>0.2</v>
      </c>
      <c r="F31" t="str">
        <v>vonat</v>
      </c>
      <c r="G31">
        <f>IFERROR(SUMIFS(Table2[Frequency],Table2[Concept],$F31,Table2[FeatureNo],G$1),"")</f>
        <v>6</v>
      </c>
      <c r="H31">
        <f>IFERROR(SUMIFS(Table2[Frequency],Table2[Concept],$F31,Table2[FeatureNo],H$1),"")</f>
        <v>5</v>
      </c>
      <c r="I31">
        <f>IFERROR(SUMIFS(Table2[Frequency],Table2[Concept],$F31,Table2[FeatureNo],I$1),"")</f>
        <v>4</v>
      </c>
      <c r="J31">
        <f>IFERROR(SUMIFS(Table2[Frequency],Table2[Concept],$F31,Table2[FeatureNo],J$1),"")</f>
        <v>3</v>
      </c>
      <c r="K31">
        <f>IFERROR(SUMIFS(Table2[Frequency],Table2[Concept],$F31,Table2[FeatureNo],K$1),"")</f>
        <v>3</v>
      </c>
      <c r="L31">
        <f>IFERROR(SUMIFS(Table2[Frequency],Table2[Concept],$F31,Table2[FeatureNo],L$1),"")</f>
        <v>17</v>
      </c>
      <c r="M31">
        <f>IFERROR(SUMIFS(Table2[Frequency],Table2[Concept],$F31,Table2[FeatureNo],M$1),"")</f>
        <v>2</v>
      </c>
      <c r="N31">
        <f>IFERROR(SUMIFS(Table2[Frequency],Table2[Concept],$F31,Table2[FeatureNo],N$1),"")</f>
        <v>2</v>
      </c>
      <c r="O31">
        <f>IFERROR(SUMIFS(Table2[Frequency],Table2[Concept],$F31,Table2[FeatureNo],O$1),"")</f>
        <v>8</v>
      </c>
      <c r="P31">
        <f>IFERROR(SUMIFS(Table2[Frequency],Table2[Concept],$F31,Table2[FeatureNo],P$1),"")</f>
        <v>5</v>
      </c>
      <c r="T31" t="str">
        <v>vonat</v>
      </c>
      <c r="U31">
        <f>IFERROR(SUMIFS(Table2[Distinct],Table2[Concept],$F31,Table2[FeatureNo],U$1),"")</f>
        <v>0.33300000000000002</v>
      </c>
      <c r="V31">
        <f>IFERROR(SUMIFS(Table2[Distinct],Table2[Concept],$F31,Table2[FeatureNo],V$1),"")</f>
        <v>0.14299999999999999</v>
      </c>
      <c r="W31">
        <f>IFERROR(SUMIFS(Table2[Distinct],Table2[Concept],$F31,Table2[FeatureNo],W$1),"")</f>
        <v>0.05</v>
      </c>
      <c r="X31">
        <f>IFERROR(SUMIFS(Table2[Distinct],Table2[Concept],$F31,Table2[FeatureNo],X$1),"")</f>
        <v>0.25</v>
      </c>
      <c r="Y31">
        <f>IFERROR(SUMIFS(Table2[Distinct],Table2[Concept],$F31,Table2[FeatureNo],Y$1),"")</f>
        <v>0.2</v>
      </c>
      <c r="Z31">
        <f>IFERROR(SUMIFS(Table2[Distinct],Table2[Concept],$F31,Table2[FeatureNo],Z$1),"")</f>
        <v>0.16700000000000001</v>
      </c>
      <c r="AA31">
        <f>IFERROR(SUMIFS(Table2[Distinct],Table2[Concept],$F31,Table2[FeatureNo],AA$1),"")</f>
        <v>0.33300000000000002</v>
      </c>
      <c r="AB31">
        <f>IFERROR(SUMIFS(Table2[Distinct],Table2[Concept],$F31,Table2[FeatureNo],AB$1),"")</f>
        <v>0.2</v>
      </c>
      <c r="AC31">
        <f>IFERROR(SUMIFS(Table2[Distinct],Table2[Concept],$F31,Table2[FeatureNo],AC$1),"")</f>
        <v>0.33300000000000002</v>
      </c>
      <c r="AD31">
        <f>IFERROR(SUMIFS(Table2[Distinct],Table2[Concept],$F31,Table2[FeatureNo],AD$1),"")</f>
        <v>0.33300000000000002</v>
      </c>
    </row>
    <row r="32" spans="1:30" x14ac:dyDescent="0.3">
      <c r="A32" t="str" cm="1">
        <f t="array" ref="A32">_xlfn.LET(_xlpm.n,ROWS(A$2:A32),_xlpm.block,QUOTIENT(_xlpm.n-1,10),_xlpm.conceptRow,6+_xlpm.block*11,IF(INDEX(Curation!$A:$A,_xlpm.conceptRow)="","",INDEX(Curation!$A:$A,_xlpm.conceptRow)))</f>
        <v>bab</v>
      </c>
      <c r="B32" t="s">
        <v>472</v>
      </c>
      <c r="C32" cm="1">
        <f t="array" ref="C32">_xlfn.LET(_xlpm.n,ROWS(C$2:C32),_xlpm.block,QUOTIENT(_xlpm.n-1,10),_xlpm.pos,MOD(_xlpm.n-1,10),_xlpm.conceptRow,6+_xlpm.block*11,_xlpm.srcRow,_xlpm.conceptRow+_xlpm.pos,IF(INDEX(Curation!$A:$A,_xlpm.conceptRow)="","",INDEX(Curation!$E:$E,_xlpm.srcRow)))</f>
        <v>11</v>
      </c>
      <c r="D32" cm="1">
        <f t="array" ref="D32">_xlfn.LET(_xlpm.n,ROWS(D$2:D32),_xlpm.block,QUOTIENT(_xlpm.n-1,10),_xlpm.pos,MOD(_xlpm.n-1,10),_xlpm.conceptRow,6+_xlpm.block*11,_xlpm.srcRow,_xlpm.conceptRow+_xlpm.pos,IF(INDEX(Curation!$A:$A,_xlpm.conceptRow)="","",INDEX(Curation!$F:$F,_xlpm.srcRow)))</f>
        <v>0.125</v>
      </c>
      <c r="F32">
        <v>0</v>
      </c>
      <c r="T32">
        <v>0</v>
      </c>
    </row>
    <row r="33" spans="1:36" x14ac:dyDescent="0.3">
      <c r="A33" t="str" cm="1">
        <f t="array" ref="A33">_xlfn.LET(_xlpm.n,ROWS(A$2:A33),_xlpm.block,QUOTIENT(_xlpm.n-1,10),_xlpm.conceptRow,6+_xlpm.block*11,IF(INDEX(Curation!$A:$A,_xlpm.conceptRow)="","",INDEX(Curation!$A:$A,_xlpm.conceptRow)))</f>
        <v>bab</v>
      </c>
      <c r="B33" t="s">
        <v>473</v>
      </c>
      <c r="C33" cm="1">
        <f t="array" ref="C33">_xlfn.LET(_xlpm.n,ROWS(C$2:C33),_xlpm.block,QUOTIENT(_xlpm.n-1,10),_xlpm.pos,MOD(_xlpm.n-1,10),_xlpm.conceptRow,6+_xlpm.block*11,_xlpm.srcRow,_xlpm.conceptRow+_xlpm.pos,IF(INDEX(Curation!$A:$A,_xlpm.conceptRow)="","",INDEX(Curation!$E:$E,_xlpm.srcRow)))</f>
        <v>2</v>
      </c>
      <c r="D33" cm="1">
        <f t="array" ref="D33">_xlfn.LET(_xlpm.n,ROWS(D$2:D33),_xlpm.block,QUOTIENT(_xlpm.n-1,10),_xlpm.pos,MOD(_xlpm.n-1,10),_xlpm.conceptRow,6+_xlpm.block*11,_xlpm.srcRow,_xlpm.conceptRow+_xlpm.pos,IF(INDEX(Curation!$A:$A,_xlpm.conceptRow)="","",INDEX(Curation!$F:$F,_xlpm.srcRow)))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34" spans="1:36" x14ac:dyDescent="0.3">
      <c r="A34" t="str" cm="1">
        <f t="array" ref="A34">_xlfn.LET(_xlpm.n,ROWS(A$2:A34),_xlpm.block,QUOTIENT(_xlpm.n-1,10),_xlpm.conceptRow,6+_xlpm.block*11,IF(INDEX(Curation!$A:$A,_xlpm.conceptRow)="","",INDEX(Curation!$A:$A,_xlpm.conceptRow)))</f>
        <v>bab</v>
      </c>
      <c r="B34" t="s">
        <v>474</v>
      </c>
      <c r="C34" cm="1">
        <f t="array" ref="C34">_xlfn.LET(_xlpm.n,ROWS(C$2:C34),_xlpm.block,QUOTIENT(_xlpm.n-1,10),_xlpm.pos,MOD(_xlpm.n-1,10),_xlpm.conceptRow,6+_xlpm.block*11,_xlpm.srcRow,_xlpm.conceptRow+_xlpm.pos,IF(INDEX(Curation!$A:$A,_xlpm.conceptRow)="","",INDEX(Curation!$E:$E,_xlpm.srcRow)))</f>
        <v>5</v>
      </c>
      <c r="D34" cm="1">
        <f t="array" ref="D34">_xlfn.LET(_xlpm.n,ROWS(D$2:D34),_xlpm.block,QUOTIENT(_xlpm.n-1,10),_xlpm.pos,MOD(_xlpm.n-1,10),_xlpm.conceptRow,6+_xlpm.block*11,_xlpm.srcRow,_xlpm.conceptRow+_xlpm.pos,IF(INDEX(Curation!$A:$A,_xlpm.conceptRow)="","",INDEX(Curation!$F:$F,_xlpm.srcRow)))</f>
        <v>0.1</v>
      </c>
      <c r="F34" t="s">
        <v>482</v>
      </c>
      <c r="G34" t="str" cm="1">
        <f t="array" ref="G34">IFERROR(INDEX($F$2:$F$31,COLUMNS($G:G)),"")</f>
        <v>alma</v>
      </c>
      <c r="H34" t="str" cm="1">
        <f t="array" ref="H34">IFERROR(INDEX($F$2:$F$31,COLUMNS($G:H)),"")</f>
        <v>asztal</v>
      </c>
      <c r="I34" t="str" cm="1">
        <f t="array" ref="I34">IFERROR(INDEX($F$2:$F$31,COLUMNS($G:I)),"")</f>
        <v>autó</v>
      </c>
      <c r="J34" t="str" cm="1">
        <f t="array" ref="J34">IFERROR(INDEX($F$2:$F$31,COLUMNS($G:J)),"")</f>
        <v>bab</v>
      </c>
      <c r="K34" t="str" cm="1">
        <f t="array" ref="K34">IFERROR(INDEX($F$2:$F$31,COLUMNS($G:K)),"")</f>
        <v>ceruza</v>
      </c>
      <c r="L34" t="str" cm="1">
        <f t="array" ref="L34">IFERROR(INDEX($F$2:$F$31,COLUMNS($G:L)),"")</f>
        <v>cipő</v>
      </c>
      <c r="M34" t="str" cm="1">
        <f t="array" ref="M34">IFERROR(INDEX($F$2:$F$31,COLUMNS($G:M)),"")</f>
        <v>citrom</v>
      </c>
      <c r="N34" t="str" cm="1">
        <f t="array" ref="N34">IFERROR(INDEX($F$2:$F$31,COLUMNS($G:N)),"")</f>
        <v>eper</v>
      </c>
      <c r="O34" t="str" cm="1">
        <f t="array" ref="O34">IFERROR(INDEX($F$2:$F$31,COLUMNS($G:O)),"")</f>
        <v>erdő</v>
      </c>
      <c r="P34" t="str" cm="1">
        <f t="array" ref="P34">IFERROR(INDEX($F$2:$F$31,COLUMNS($G:P)),"")</f>
        <v>gomba</v>
      </c>
      <c r="Q34" t="str" cm="1">
        <f t="array" ref="Q34">IFERROR(INDEX($F$2:$F$31,COLUMNS($G:Q)),"")</f>
        <v>gyerek</v>
      </c>
      <c r="R34" t="str" cm="1">
        <f t="array" ref="R34">IFERROR(INDEX($F$2:$F$31,COLUMNS($G:R)),"")</f>
        <v>helikopter</v>
      </c>
      <c r="S34" t="str" cm="1">
        <f t="array" ref="S34">IFERROR(INDEX($F$2:$F$31,COLUMNS($G:S)),"")</f>
        <v>hercegnő</v>
      </c>
      <c r="T34" t="str" cm="1">
        <f t="array" ref="T34">IFERROR(INDEX($F$2:$F$31,COLUMNS($G:T)),"")</f>
        <v>játszótér</v>
      </c>
      <c r="U34" t="str" cm="1">
        <f t="array" ref="U34">IFERROR(INDEX($F$2:$F$31,COLUMNS($G:U)),"")</f>
        <v>kacsa</v>
      </c>
      <c r="V34" t="str" cm="1">
        <f t="array" ref="V34">IFERROR(INDEX($F$2:$F$31,COLUMNS($G:V)),"")</f>
        <v>kard</v>
      </c>
      <c r="W34" t="str" cm="1">
        <f t="array" ref="W34">IFERROR(INDEX($F$2:$F$31,COLUMNS($G:W)),"")</f>
        <v>kéz</v>
      </c>
      <c r="X34" t="str" cm="1">
        <f t="array" ref="X34">IFERROR(INDEX($F$2:$F$31,COLUMNS($G:X)),"")</f>
        <v>könyv</v>
      </c>
      <c r="Y34" t="str" cm="1">
        <f t="array" ref="Y34">IFERROR(INDEX($F$2:$F$31,COLUMNS($G:Y)),"")</f>
        <v>krumpli</v>
      </c>
      <c r="Z34" t="str" cm="1">
        <f t="array" ref="Z34">IFERROR(INDEX($F$2:$F$31,COLUMNS($G:Z)),"")</f>
        <v>kutya</v>
      </c>
      <c r="AA34" t="str" cm="1">
        <f t="array" ref="AA34">IFERROR(INDEX($F$2:$F$31,COLUMNS($G:AA)),"")</f>
        <v>láb</v>
      </c>
      <c r="AB34" t="str" cm="1">
        <f t="array" ref="AB34">IFERROR(INDEX($F$2:$F$31,COLUMNS($G:AB)),"")</f>
        <v>ló</v>
      </c>
      <c r="AC34" t="str" cm="1">
        <f t="array" ref="AC34">IFERROR(INDEX($F$2:$F$31,COLUMNS($G:AC)),"")</f>
        <v>nadrág</v>
      </c>
      <c r="AD34" t="str" cm="1">
        <f t="array" ref="AD34">IFERROR(INDEX($F$2:$F$31,COLUMNS($G:AD)),"")</f>
        <v>nappali</v>
      </c>
      <c r="AE34" t="str" cm="1">
        <f t="array" ref="AE34">IFERROR(INDEX($F$2:$F$31,COLUMNS($G:AE)),"")</f>
        <v>pulóver</v>
      </c>
      <c r="AF34" t="str" cm="1">
        <f t="array" ref="AF34">IFERROR(INDEX($F$2:$F$31,COLUMNS($G:AF)),"")</f>
        <v>seprű</v>
      </c>
      <c r="AG34" t="str" cm="1">
        <f t="array" ref="AG34">IFERROR(INDEX($F$2:$F$31,COLUMNS($G:AG)),"")</f>
        <v>szem</v>
      </c>
      <c r="AH34" t="str" cm="1">
        <f t="array" ref="AH34">IFERROR(INDEX($F$2:$F$31,COLUMNS($G:AH)),"")</f>
        <v>szőnyeg</v>
      </c>
      <c r="AI34" t="str" cm="1">
        <f t="array" ref="AI34">IFERROR(INDEX($F$2:$F$31,COLUMNS($G:AI)),"")</f>
        <v>tűzoltó</v>
      </c>
      <c r="AJ34" t="str" cm="1">
        <f t="array" ref="AJ34">IFERROR(INDEX($F$2:$F$31,COLUMNS($G:AJ)),"")</f>
        <v>vonat</v>
      </c>
    </row>
    <row r="35" spans="1:36" x14ac:dyDescent="0.3">
      <c r="A35" t="str" cm="1">
        <f t="array" ref="A35">_xlfn.LET(_xlpm.n,ROWS(A$2:A35),_xlpm.block,QUOTIENT(_xlpm.n-1,10),_xlpm.conceptRow,6+_xlpm.block*11,IF(INDEX(Curation!$A:$A,_xlpm.conceptRow)="","",INDEX(Curation!$A:$A,_xlpm.conceptRow)))</f>
        <v>bab</v>
      </c>
      <c r="B35" t="s">
        <v>475</v>
      </c>
      <c r="C35" cm="1">
        <f t="array" ref="C35">_xlfn.LET(_xlpm.n,ROWS(C$2:C35),_xlpm.block,QUOTIENT(_xlpm.n-1,10),_xlpm.pos,MOD(_xlpm.n-1,10),_xlpm.conceptRow,6+_xlpm.block*11,_xlpm.srcRow,_xlpm.conceptRow+_xlpm.pos,IF(INDEX(Curation!$A:$A,_xlpm.conceptRow)="","",INDEX(Curation!$E:$E,_xlpm.srcRow)))</f>
        <v>11</v>
      </c>
      <c r="D35" cm="1">
        <f t="array" ref="D35">_xlfn.LET(_xlpm.n,ROWS(D$2:D35),_xlpm.block,QUOTIENT(_xlpm.n-1,10),_xlpm.pos,MOD(_xlpm.n-1,10),_xlpm.conceptRow,6+_xlpm.block*11,_xlpm.srcRow,_xlpm.conceptRow+_xlpm.pos,IF(INDEX(Curation!$A:$A,_xlpm.conceptRow)="","",INDEX(Curation!$F:$F,_xlpm.srcRow)))</f>
        <v>9.0999999999999998E-2</v>
      </c>
      <c r="F35">
        <v>0</v>
      </c>
      <c r="G35" cm="1">
        <f t="array" ref="G35">IF(G$34="","",_xlfn.LET(_xlpm.r,INDEX($G$2:$P$31,MATCH(G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4</v>
      </c>
      <c r="H35" cm="1">
        <f t="array" ref="H35">IF(H$34="","",_xlfn.LET(_xlpm.r,INDEX($G$2:$P$31,MATCH(H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3</v>
      </c>
      <c r="I35" cm="1">
        <f t="array" ref="I35">IF(I$34="","",_xlfn.LET(_xlpm.r,INDEX($G$2:$P$31,MATCH(I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3</v>
      </c>
      <c r="J35" cm="1">
        <f t="array" ref="J35">IF(J$34="","",_xlfn.LET(_xlpm.r,INDEX($G$2:$P$31,MATCH(J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4</v>
      </c>
      <c r="K35" cm="1">
        <f t="array" ref="K35">IF(K$34="","",_xlfn.LET(_xlpm.r,INDEX($G$2:$P$31,MATCH(K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4</v>
      </c>
      <c r="L35" cm="1">
        <f t="array" ref="L35">IF(L$34="","",_xlfn.LET(_xlpm.r,INDEX($G$2:$P$31,MATCH(L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4</v>
      </c>
      <c r="M35" cm="1">
        <f t="array" ref="M35">IF(M$34="","",_xlfn.LET(_xlpm.r,INDEX($G$2:$P$31,MATCH(M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5</v>
      </c>
      <c r="N35" cm="1">
        <f t="array" ref="N35">IF(N$34="","",_xlfn.LET(_xlpm.r,INDEX($G$2:$P$31,MATCH(N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5</v>
      </c>
      <c r="O35" cm="1">
        <f t="array" ref="O35">IF(O$34="","",_xlfn.LET(_xlpm.r,INDEX($G$2:$P$31,MATCH(O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3</v>
      </c>
      <c r="P35" cm="1">
        <f t="array" ref="P35">IF(P$34="","",_xlfn.LET(_xlpm.r,INDEX($G$2:$P$31,MATCH(P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6</v>
      </c>
      <c r="Q35" cm="1">
        <f t="array" ref="Q35">IF(Q$34="","",_xlfn.LET(_xlpm.r,INDEX($G$2:$P$31,MATCH(Q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3</v>
      </c>
      <c r="R35" cm="1">
        <f t="array" ref="R35">IF(R$34="","",_xlfn.LET(_xlpm.r,INDEX($G$2:$P$31,MATCH(R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7</v>
      </c>
      <c r="S35" cm="1">
        <f t="array" ref="S35">IF(S$34="","",_xlfn.LET(_xlpm.r,INDEX($G$2:$P$31,MATCH(S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6</v>
      </c>
      <c r="T35" cm="1">
        <f t="array" ref="T35">IF(T$34="","",_xlfn.LET(_xlpm.r,INDEX($G$2:$P$31,MATCH(T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7</v>
      </c>
      <c r="U35" cm="1">
        <f t="array" ref="U35">IF(U$34="","",_xlfn.LET(_xlpm.r,INDEX($G$2:$P$31,MATCH(U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4</v>
      </c>
      <c r="V35" cm="1">
        <f t="array" ref="V35">IF(V$34="","",_xlfn.LET(_xlpm.r,INDEX($G$2:$P$31,MATCH(V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5</v>
      </c>
      <c r="W35" cm="1">
        <f t="array" ref="W35">IF(W$34="","",_xlfn.LET(_xlpm.r,INDEX($G$2:$P$31,MATCH(W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7</v>
      </c>
      <c r="X35" cm="1">
        <f t="array" ref="X35">IF(X$34="","",_xlfn.LET(_xlpm.r,INDEX($G$2:$P$31,MATCH(X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8</v>
      </c>
      <c r="Y35" cm="1">
        <f t="array" ref="Y35">IF(Y$34="","",_xlfn.LET(_xlpm.r,INDEX($G$2:$P$31,MATCH(Y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5</v>
      </c>
      <c r="Z35" cm="1">
        <f t="array" ref="Z35">IF(Z$34="","",_xlfn.LET(_xlpm.r,INDEX($G$2:$P$31,MATCH(Z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2</v>
      </c>
      <c r="AA35" cm="1">
        <f t="array" ref="AA35">IF(AA$34="","",_xlfn.LET(_xlpm.r,INDEX($G$2:$P$31,MATCH(AA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6</v>
      </c>
      <c r="AB35" cm="1">
        <f t="array" ref="AB35">IF(AB$34="","",_xlfn.LET(_xlpm.r,INDEX($G$2:$P$31,MATCH(AB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5</v>
      </c>
      <c r="AC35" cm="1">
        <f t="array" ref="AC35">IF(AC$34="","",_xlfn.LET(_xlpm.r,INDEX($G$2:$P$31,MATCH(AC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6</v>
      </c>
      <c r="AD35" cm="1">
        <f t="array" ref="AD35">IF(AD$34="","",_xlfn.LET(_xlpm.r,INDEX($G$2:$P$31,MATCH(AD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5</v>
      </c>
      <c r="AE35" cm="1">
        <f t="array" ref="AE35">IF(AE$34="","",_xlfn.LET(_xlpm.r,INDEX($G$2:$P$31,MATCH(AE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1</v>
      </c>
      <c r="AF35" cm="1">
        <f t="array" ref="AF35">IF(AF$34="","",_xlfn.LET(_xlpm.r,INDEX($G$2:$P$31,MATCH(AF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8</v>
      </c>
      <c r="AG35" cm="1">
        <f t="array" ref="AG35">IF(AG$34="","",_xlfn.LET(_xlpm.r,INDEX($G$2:$P$31,MATCH(AG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4</v>
      </c>
      <c r="AH35" cm="1">
        <f t="array" ref="AH35">IF(AH$34="","",_xlfn.LET(_xlpm.r,INDEX($G$2:$P$31,MATCH(AH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6</v>
      </c>
      <c r="AI35" cm="1">
        <f t="array" ref="AI35">IF(AI$34="","",_xlfn.LET(_xlpm.r,INDEX($G$2:$P$31,MATCH(AI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4</v>
      </c>
      <c r="AJ35" cm="1">
        <f t="array" ref="AJ35">IF(AJ$34="","",_xlfn.LET(_xlpm.r,INDEX($G$2:$P$31,MATCH(AJ$34,$F$2:$F$31,0),0),_xlpm.mn,MIN(_xlpm.r),_xlpm.mx,MAX(_xlpm.r),_xlpm.w,(_xlpm.mx-_xlpm.mn)/5,_xlpm.b,$F35,IF(_xlpm.mx=_xlpm.mn,IF(_xlpm.b=0,COUNT(_xlpm.r),0),SUMPRODUCT((_xlpm.r&gt;=_xlpm.mn+_xlpm.b*_xlpm.w)*(_xlpm.r&lt;_xlpm.mn+(_xlpm.b+1)*_xlpm.w))+IF(_xlpm.b=4,SUMPRODUCT(--(_xlpm.r=_xlpm.mx)),0))))</f>
        <v>5</v>
      </c>
    </row>
    <row r="36" spans="1:36" x14ac:dyDescent="0.3">
      <c r="A36" t="str" cm="1">
        <f t="array" ref="A36">_xlfn.LET(_xlpm.n,ROWS(A$2:A36),_xlpm.block,QUOTIENT(_xlpm.n-1,10),_xlpm.conceptRow,6+_xlpm.block*11,IF(INDEX(Curation!$A:$A,_xlpm.conceptRow)="","",INDEX(Curation!$A:$A,_xlpm.conceptRow)))</f>
        <v>bab</v>
      </c>
      <c r="B36" t="s">
        <v>476</v>
      </c>
      <c r="C36" cm="1">
        <f t="array" ref="C36">_xlfn.LET(_xlpm.n,ROWS(C$2:C36),_xlpm.block,QUOTIENT(_xlpm.n-1,10),_xlpm.pos,MOD(_xlpm.n-1,10),_xlpm.conceptRow,6+_xlpm.block*11,_xlpm.srcRow,_xlpm.conceptRow+_xlpm.pos,IF(INDEX(Curation!$A:$A,_xlpm.conceptRow)="","",INDEX(Curation!$E:$E,_xlpm.srcRow)))</f>
        <v>2</v>
      </c>
      <c r="D36" cm="1">
        <f t="array" ref="D36">_xlfn.LET(_xlpm.n,ROWS(D$2:D36),_xlpm.block,QUOTIENT(_xlpm.n-1,10),_xlpm.pos,MOD(_xlpm.n-1,10),_xlpm.conceptRow,6+_xlpm.block*11,_xlpm.srcRow,_xlpm.conceptRow+_xlpm.pos,IF(INDEX(Curation!$A:$A,_xlpm.conceptRow)="","",INDEX(Curation!$F:$F,_xlpm.srcRow)))</f>
        <v>0.2</v>
      </c>
      <c r="F36">
        <v>1</v>
      </c>
      <c r="G36" cm="1">
        <f t="array" ref="G36">IF(G$34="","",_xlfn.LET(_xlpm.r,INDEX($G$2:$P$31,MATCH(G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2</v>
      </c>
      <c r="H36" cm="1">
        <f t="array" ref="H36">IF(H$34="","",_xlfn.LET(_xlpm.r,INDEX($G$2:$P$31,MATCH(H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2</v>
      </c>
      <c r="I36" cm="1">
        <f t="array" ref="I36">IF(I$34="","",_xlfn.LET(_xlpm.r,INDEX($G$2:$P$31,MATCH(I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2</v>
      </c>
      <c r="J36" cm="1">
        <f t="array" ref="J36">IF(J$34="","",_xlfn.LET(_xlpm.r,INDEX($G$2:$P$31,MATCH(J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3</v>
      </c>
      <c r="K36" cm="1">
        <f t="array" ref="K36">IF(K$34="","",_xlfn.LET(_xlpm.r,INDEX($G$2:$P$31,MATCH(K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4</v>
      </c>
      <c r="L36" cm="1">
        <f t="array" ref="L36">IF(L$34="","",_xlfn.LET(_xlpm.r,INDEX($G$2:$P$31,MATCH(L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4</v>
      </c>
      <c r="M36" cm="1">
        <f t="array" ref="M36">IF(M$34="","",_xlfn.LET(_xlpm.r,INDEX($G$2:$P$31,MATCH(M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2</v>
      </c>
      <c r="N36" cm="1">
        <f t="array" ref="N36">IF(N$34="","",_xlfn.LET(_xlpm.r,INDEX($G$2:$P$31,MATCH(N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0</v>
      </c>
      <c r="O36" cm="1">
        <f t="array" ref="O36">IF(O$34="","",_xlfn.LET(_xlpm.r,INDEX($G$2:$P$31,MATCH(O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4</v>
      </c>
      <c r="P36" cm="1">
        <f t="array" ref="P36">IF(P$34="","",_xlfn.LET(_xlpm.r,INDEX($G$2:$P$31,MATCH(P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1</v>
      </c>
      <c r="Q36" cm="1">
        <f t="array" ref="Q36">IF(Q$34="","",_xlfn.LET(_xlpm.r,INDEX($G$2:$P$31,MATCH(Q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0</v>
      </c>
      <c r="R36" cm="1">
        <f t="array" ref="R36">IF(R$34="","",_xlfn.LET(_xlpm.r,INDEX($G$2:$P$31,MATCH(R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2</v>
      </c>
      <c r="S36" cm="1">
        <f t="array" ref="S36">IF(S$34="","",_xlfn.LET(_xlpm.r,INDEX($G$2:$P$31,MATCH(S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3</v>
      </c>
      <c r="T36" cm="1">
        <f t="array" ref="T36">IF(T$34="","",_xlfn.LET(_xlpm.r,INDEX($G$2:$P$31,MATCH(T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0</v>
      </c>
      <c r="U36" cm="1">
        <f t="array" ref="U36">IF(U$34="","",_xlfn.LET(_xlpm.r,INDEX($G$2:$P$31,MATCH(U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1</v>
      </c>
      <c r="V36" cm="1">
        <f t="array" ref="V36">IF(V$34="","",_xlfn.LET(_xlpm.r,INDEX($G$2:$P$31,MATCH(V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3</v>
      </c>
      <c r="W36" cm="1">
        <f t="array" ref="W36">IF(W$34="","",_xlfn.LET(_xlpm.r,INDEX($G$2:$P$31,MATCH(W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2</v>
      </c>
      <c r="X36" cm="1">
        <f t="array" ref="X36">IF(X$34="","",_xlfn.LET(_xlpm.r,INDEX($G$2:$P$31,MATCH(X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1</v>
      </c>
      <c r="Y36" cm="1">
        <f t="array" ref="Y36">IF(Y$34="","",_xlfn.LET(_xlpm.r,INDEX($G$2:$P$31,MATCH(Y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2</v>
      </c>
      <c r="Z36" cm="1">
        <f t="array" ref="Z36">IF(Z$34="","",_xlfn.LET(_xlpm.r,INDEX($G$2:$P$31,MATCH(Z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4</v>
      </c>
      <c r="AA36" cm="1">
        <f t="array" ref="AA36">IF(AA$34="","",_xlfn.LET(_xlpm.r,INDEX($G$2:$P$31,MATCH(AA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1</v>
      </c>
      <c r="AB36" cm="1">
        <f t="array" ref="AB36">IF(AB$34="","",_xlfn.LET(_xlpm.r,INDEX($G$2:$P$31,MATCH(AB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3</v>
      </c>
      <c r="AC36" cm="1">
        <f t="array" ref="AC36">IF(AC$34="","",_xlfn.LET(_xlpm.r,INDEX($G$2:$P$31,MATCH(AC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2</v>
      </c>
      <c r="AD36" cm="1">
        <f t="array" ref="AD36">IF(AD$34="","",_xlfn.LET(_xlpm.r,INDEX($G$2:$P$31,MATCH(AD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2</v>
      </c>
      <c r="AE36" cm="1">
        <f t="array" ref="AE36">IF(AE$34="","",_xlfn.LET(_xlpm.r,INDEX($G$2:$P$31,MATCH(AE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4</v>
      </c>
      <c r="AF36" cm="1">
        <f t="array" ref="AF36">IF(AF$34="","",_xlfn.LET(_xlpm.r,INDEX($G$2:$P$31,MATCH(AF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0</v>
      </c>
      <c r="AG36" cm="1">
        <f t="array" ref="AG36">IF(AG$34="","",_xlfn.LET(_xlpm.r,INDEX($G$2:$P$31,MATCH(AG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2</v>
      </c>
      <c r="AH36" cm="1">
        <f t="array" ref="AH36">IF(AH$34="","",_xlfn.LET(_xlpm.r,INDEX($G$2:$P$31,MATCH(AH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1</v>
      </c>
      <c r="AI36" cm="1">
        <f t="array" ref="AI36">IF(AI$34="","",_xlfn.LET(_xlpm.r,INDEX($G$2:$P$31,MATCH(AI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1</v>
      </c>
      <c r="AJ36" cm="1">
        <f t="array" ref="AJ36">IF(AJ$34="","",_xlfn.LET(_xlpm.r,INDEX($G$2:$P$31,MATCH(AJ$34,$F$2:$F$31,0),0),_xlpm.mn,MIN(_xlpm.r),_xlpm.mx,MAX(_xlpm.r),_xlpm.w,(_xlpm.mx-_xlpm.mn)/5,_xlpm.b,$F36,IF(_xlpm.mx=_xlpm.mn,IF(_xlpm.b=0,COUNT(_xlpm.r),0),SUMPRODUCT((_xlpm.r&gt;=_xlpm.mn+_xlpm.b*_xlpm.w)*(_xlpm.r&lt;_xlpm.mn+(_xlpm.b+1)*_xlpm.w))+IF(_xlpm.b=4,SUMPRODUCT(--(_xlpm.r=_xlpm.mx)),0))))</f>
        <v>3</v>
      </c>
    </row>
    <row r="37" spans="1:36" x14ac:dyDescent="0.3">
      <c r="A37" t="str" cm="1">
        <f t="array" ref="A37">_xlfn.LET(_xlpm.n,ROWS(A$2:A37),_xlpm.block,QUOTIENT(_xlpm.n-1,10),_xlpm.conceptRow,6+_xlpm.block*11,IF(INDEX(Curation!$A:$A,_xlpm.conceptRow)="","",INDEX(Curation!$A:$A,_xlpm.conceptRow)))</f>
        <v>bab</v>
      </c>
      <c r="B37" t="s">
        <v>477</v>
      </c>
      <c r="C37" cm="1">
        <f t="array" ref="C37">_xlfn.LET(_xlpm.n,ROWS(C$2:C37),_xlpm.block,QUOTIENT(_xlpm.n-1,10),_xlpm.pos,MOD(_xlpm.n-1,10),_xlpm.conceptRow,6+_xlpm.block*11,_xlpm.srcRow,_xlpm.conceptRow+_xlpm.pos,IF(INDEX(Curation!$A:$A,_xlpm.conceptRow)="","",INDEX(Curation!$E:$E,_xlpm.srcRow)))</f>
        <v>2</v>
      </c>
      <c r="D37" cm="1">
        <f t="array" ref="D37">_xlfn.LET(_xlpm.n,ROWS(D$2:D37),_xlpm.block,QUOTIENT(_xlpm.n-1,10),_xlpm.pos,MOD(_xlpm.n-1,10),_xlpm.conceptRow,6+_xlpm.block*11,_xlpm.srcRow,_xlpm.conceptRow+_xlpm.pos,IF(INDEX(Curation!$A:$A,_xlpm.conceptRow)="","",INDEX(Curation!$F:$F,_xlpm.srcRow)))</f>
        <v>0.111</v>
      </c>
      <c r="F37">
        <v>2</v>
      </c>
      <c r="G37" cm="1">
        <f t="array" ref="G37">IF(G$34="","",_xlfn.LET(_xlpm.r,INDEX($G$2:$P$31,MATCH(G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0</v>
      </c>
      <c r="H37" cm="1">
        <f t="array" ref="H37">IF(H$34="","",_xlfn.LET(_xlpm.r,INDEX($G$2:$P$31,MATCH(H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1</v>
      </c>
      <c r="I37" cm="1">
        <f t="array" ref="I37">IF(I$34="","",_xlfn.LET(_xlpm.r,INDEX($G$2:$P$31,MATCH(I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3</v>
      </c>
      <c r="J37" cm="1">
        <f t="array" ref="J37">IF(J$34="","",_xlfn.LET(_xlpm.r,INDEX($G$2:$P$31,MATCH(J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1</v>
      </c>
      <c r="K37" cm="1">
        <f t="array" ref="K37">IF(K$34="","",_xlfn.LET(_xlpm.r,INDEX($G$2:$P$31,MATCH(K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1</v>
      </c>
      <c r="L37" cm="1">
        <f t="array" ref="L37">IF(L$34="","",_xlfn.LET(_xlpm.r,INDEX($G$2:$P$31,MATCH(L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0</v>
      </c>
      <c r="M37" cm="1">
        <f t="array" ref="M37">IF(M$34="","",_xlfn.LET(_xlpm.r,INDEX($G$2:$P$31,MATCH(M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0</v>
      </c>
      <c r="N37" cm="1">
        <f t="array" ref="N37">IF(N$34="","",_xlfn.LET(_xlpm.r,INDEX($G$2:$P$31,MATCH(N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1</v>
      </c>
      <c r="O37" cm="1">
        <f t="array" ref="O37">IF(O$34="","",_xlfn.LET(_xlpm.r,INDEX($G$2:$P$31,MATCH(O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0</v>
      </c>
      <c r="P37" cm="1">
        <f t="array" ref="P37">IF(P$34="","",_xlfn.LET(_xlpm.r,INDEX($G$2:$P$31,MATCH(P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0</v>
      </c>
      <c r="Q37" cm="1">
        <f t="array" ref="Q37">IF(Q$34="","",_xlfn.LET(_xlpm.r,INDEX($G$2:$P$31,MATCH(Q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0</v>
      </c>
      <c r="R37" cm="1">
        <f t="array" ref="R37">IF(R$34="","",_xlfn.LET(_xlpm.r,INDEX($G$2:$P$31,MATCH(R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0</v>
      </c>
      <c r="S37" cm="1">
        <f t="array" ref="S37">IF(S$34="","",_xlfn.LET(_xlpm.r,INDEX($G$2:$P$31,MATCH(S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0</v>
      </c>
      <c r="T37" cm="1">
        <f t="array" ref="T37">IF(T$34="","",_xlfn.LET(_xlpm.r,INDEX($G$2:$P$31,MATCH(T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2</v>
      </c>
      <c r="U37" cm="1">
        <f t="array" ref="U37">IF(U$34="","",_xlfn.LET(_xlpm.r,INDEX($G$2:$P$31,MATCH(U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1</v>
      </c>
      <c r="V37" cm="1">
        <f t="array" ref="V37">IF(V$34="","",_xlfn.LET(_xlpm.r,INDEX($G$2:$P$31,MATCH(V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0</v>
      </c>
      <c r="W37" cm="1">
        <f t="array" ref="W37">IF(W$34="","",_xlfn.LET(_xlpm.r,INDEX($G$2:$P$31,MATCH(W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0</v>
      </c>
      <c r="X37" cm="1">
        <f t="array" ref="X37">IF(X$34="","",_xlfn.LET(_xlpm.r,INDEX($G$2:$P$31,MATCH(X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0</v>
      </c>
      <c r="Y37" cm="1">
        <f t="array" ref="Y37">IF(Y$34="","",_xlfn.LET(_xlpm.r,INDEX($G$2:$P$31,MATCH(Y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1</v>
      </c>
      <c r="Z37" cm="1">
        <f t="array" ref="Z37">IF(Z$34="","",_xlfn.LET(_xlpm.r,INDEX($G$2:$P$31,MATCH(Z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2</v>
      </c>
      <c r="AA37" cm="1">
        <f t="array" ref="AA37">IF(AA$34="","",_xlfn.LET(_xlpm.r,INDEX($G$2:$P$31,MATCH(AA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2</v>
      </c>
      <c r="AB37" cm="1">
        <f t="array" ref="AB37">IF(AB$34="","",_xlfn.LET(_xlpm.r,INDEX($G$2:$P$31,MATCH(AB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1</v>
      </c>
      <c r="AC37" cm="1">
        <f t="array" ref="AC37">IF(AC$34="","",_xlfn.LET(_xlpm.r,INDEX($G$2:$P$31,MATCH(AC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1</v>
      </c>
      <c r="AD37" cm="1">
        <f t="array" ref="AD37">IF(AD$34="","",_xlfn.LET(_xlpm.r,INDEX($G$2:$P$31,MATCH(AD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1</v>
      </c>
      <c r="AE37" cm="1">
        <f t="array" ref="AE37">IF(AE$34="","",_xlfn.LET(_xlpm.r,INDEX($G$2:$P$31,MATCH(AE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2</v>
      </c>
      <c r="AF37" cm="1">
        <f t="array" ref="AF37">IF(AF$34="","",_xlfn.LET(_xlpm.r,INDEX($G$2:$P$31,MATCH(AF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0</v>
      </c>
      <c r="AG37" cm="1">
        <f t="array" ref="AG37">IF(AG$34="","",_xlfn.LET(_xlpm.r,INDEX($G$2:$P$31,MATCH(AG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0</v>
      </c>
      <c r="AH37" cm="1">
        <f t="array" ref="AH37">IF(AH$34="","",_xlfn.LET(_xlpm.r,INDEX($G$2:$P$31,MATCH(AH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2</v>
      </c>
      <c r="AI37" cm="1">
        <f t="array" ref="AI37">IF(AI$34="","",_xlfn.LET(_xlpm.r,INDEX($G$2:$P$31,MATCH(AI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0</v>
      </c>
      <c r="AJ37" cm="1">
        <f t="array" ref="AJ37">IF(AJ$34="","",_xlfn.LET(_xlpm.r,INDEX($G$2:$P$31,MATCH(AJ$34,$F$2:$F$31,0),0),_xlpm.mn,MIN(_xlpm.r),_xlpm.mx,MAX(_xlpm.r),_xlpm.w,(_xlpm.mx-_xlpm.mn)/5,_xlpm.b,$F37,IF(_xlpm.mx=_xlpm.mn,IF(_xlpm.b=0,COUNT(_xlpm.r),0),SUMPRODUCT((_xlpm.r&gt;=_xlpm.mn+_xlpm.b*_xlpm.w)*(_xlpm.r&lt;_xlpm.mn+(_xlpm.b+1)*_xlpm.w))+IF(_xlpm.b=4,SUMPRODUCT(--(_xlpm.r=_xlpm.mx)),0))))</f>
        <v>1</v>
      </c>
    </row>
    <row r="38" spans="1:36" x14ac:dyDescent="0.3">
      <c r="A38" t="str" cm="1">
        <f t="array" ref="A38">_xlfn.LET(_xlpm.n,ROWS(A$2:A38),_xlpm.block,QUOTIENT(_xlpm.n-1,10),_xlpm.conceptRow,6+_xlpm.block*11,IF(INDEX(Curation!$A:$A,_xlpm.conceptRow)="","",INDEX(Curation!$A:$A,_xlpm.conceptRow)))</f>
        <v>bab</v>
      </c>
      <c r="B38" t="s">
        <v>478</v>
      </c>
      <c r="C38" cm="1">
        <f t="array" ref="C38">_xlfn.LET(_xlpm.n,ROWS(C$2:C38),_xlpm.block,QUOTIENT(_xlpm.n-1,10),_xlpm.pos,MOD(_xlpm.n-1,10),_xlpm.conceptRow,6+_xlpm.block*11,_xlpm.srcRow,_xlpm.conceptRow+_xlpm.pos,IF(INDEX(Curation!$A:$A,_xlpm.conceptRow)="","",INDEX(Curation!$E:$E,_xlpm.srcRow)))</f>
        <v>3</v>
      </c>
      <c r="D38" cm="1">
        <f t="array" ref="D38">_xlfn.LET(_xlpm.n,ROWS(D$2:D38),_xlpm.block,QUOTIENT(_xlpm.n-1,10),_xlpm.pos,MOD(_xlpm.n-1,10),_xlpm.conceptRow,6+_xlpm.block*11,_xlpm.srcRow,_xlpm.conceptRow+_xlpm.pos,IF(INDEX(Curation!$A:$A,_xlpm.conceptRow)="","",INDEX(Curation!$F:$F,_xlpm.srcRow)))</f>
        <v>9.0999999999999998E-2</v>
      </c>
      <c r="F38">
        <v>3</v>
      </c>
      <c r="G38" cm="1">
        <f t="array" ref="G38">IF(G$34="","",_xlfn.LET(_xlpm.r,INDEX($G$2:$P$31,MATCH(G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2</v>
      </c>
      <c r="H38" cm="1">
        <f t="array" ref="H38">IF(H$34="","",_xlfn.LET(_xlpm.r,INDEX($G$2:$P$31,MATCH(H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1</v>
      </c>
      <c r="I38" cm="1">
        <f t="array" ref="I38">IF(I$34="","",_xlfn.LET(_xlpm.r,INDEX($G$2:$P$31,MATCH(I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0</v>
      </c>
      <c r="J38" cm="1">
        <f t="array" ref="J38">IF(J$34="","",_xlfn.LET(_xlpm.r,INDEX($G$2:$P$31,MATCH(J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0</v>
      </c>
      <c r="K38" cm="1">
        <f t="array" ref="K38">IF(K$34="","",_xlfn.LET(_xlpm.r,INDEX($G$2:$P$31,MATCH(K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0</v>
      </c>
      <c r="L38" cm="1">
        <f t="array" ref="L38">IF(L$34="","",_xlfn.LET(_xlpm.r,INDEX($G$2:$P$31,MATCH(L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0</v>
      </c>
      <c r="M38" cm="1">
        <f t="array" ref="M38">IF(M$34="","",_xlfn.LET(_xlpm.r,INDEX($G$2:$P$31,MATCH(M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0</v>
      </c>
      <c r="N38" cm="1">
        <f t="array" ref="N38">IF(N$34="","",_xlfn.LET(_xlpm.r,INDEX($G$2:$P$31,MATCH(N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2</v>
      </c>
      <c r="O38" cm="1">
        <f t="array" ref="O38">IF(O$34="","",_xlfn.LET(_xlpm.r,INDEX($G$2:$P$31,MATCH(O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1</v>
      </c>
      <c r="P38" cm="1">
        <f t="array" ref="P38">IF(P$34="","",_xlfn.LET(_xlpm.r,INDEX($G$2:$P$31,MATCH(P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1</v>
      </c>
      <c r="Q38" cm="1">
        <f t="array" ref="Q38">IF(Q$34="","",_xlfn.LET(_xlpm.r,INDEX($G$2:$P$31,MATCH(Q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5</v>
      </c>
      <c r="R38" cm="1">
        <f t="array" ref="R38">IF(R$34="","",_xlfn.LET(_xlpm.r,INDEX($G$2:$P$31,MATCH(R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0</v>
      </c>
      <c r="S38" cm="1">
        <f t="array" ref="S38">IF(S$34="","",_xlfn.LET(_xlpm.r,INDEX($G$2:$P$31,MATCH(S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0</v>
      </c>
      <c r="T38" cm="1">
        <f t="array" ref="T38">IF(T$34="","",_xlfn.LET(_xlpm.r,INDEX($G$2:$P$31,MATCH(T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0</v>
      </c>
      <c r="U38" cm="1">
        <f t="array" ref="U38">IF(U$34="","",_xlfn.LET(_xlpm.r,INDEX($G$2:$P$31,MATCH(U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1</v>
      </c>
      <c r="V38" cm="1">
        <f t="array" ref="V38">IF(V$34="","",_xlfn.LET(_xlpm.r,INDEX($G$2:$P$31,MATCH(V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0</v>
      </c>
      <c r="W38" cm="1">
        <f t="array" ref="W38">IF(W$34="","",_xlfn.LET(_xlpm.r,INDEX($G$2:$P$31,MATCH(W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0</v>
      </c>
      <c r="X38" cm="1">
        <f t="array" ref="X38">IF(X$34="","",_xlfn.LET(_xlpm.r,INDEX($G$2:$P$31,MATCH(X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0</v>
      </c>
      <c r="Y38" cm="1">
        <f t="array" ref="Y38">IF(Y$34="","",_xlfn.LET(_xlpm.r,INDEX($G$2:$P$31,MATCH(Y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1</v>
      </c>
      <c r="Z38" cm="1">
        <f t="array" ref="Z38">IF(Z$34="","",_xlfn.LET(_xlpm.r,INDEX($G$2:$P$31,MATCH(Z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1</v>
      </c>
      <c r="AA38" cm="1">
        <f t="array" ref="AA38">IF(AA$34="","",_xlfn.LET(_xlpm.r,INDEX($G$2:$P$31,MATCH(AA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0</v>
      </c>
      <c r="AB38" cm="1">
        <f t="array" ref="AB38">IF(AB$34="","",_xlfn.LET(_xlpm.r,INDEX($G$2:$P$31,MATCH(AB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0</v>
      </c>
      <c r="AC38" cm="1">
        <f t="array" ref="AC38">IF(AC$34="","",_xlfn.LET(_xlpm.r,INDEX($G$2:$P$31,MATCH(AC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0</v>
      </c>
      <c r="AD38" cm="1">
        <f t="array" ref="AD38">IF(AD$34="","",_xlfn.LET(_xlpm.r,INDEX($G$2:$P$31,MATCH(AD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0</v>
      </c>
      <c r="AE38" cm="1">
        <f t="array" ref="AE38">IF(AE$34="","",_xlfn.LET(_xlpm.r,INDEX($G$2:$P$31,MATCH(AE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2</v>
      </c>
      <c r="AF38" cm="1">
        <f t="array" ref="AF38">IF(AF$34="","",_xlfn.LET(_xlpm.r,INDEX($G$2:$P$31,MATCH(AF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1</v>
      </c>
      <c r="AG38" cm="1">
        <f t="array" ref="AG38">IF(AG$34="","",_xlfn.LET(_xlpm.r,INDEX($G$2:$P$31,MATCH(AG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1</v>
      </c>
      <c r="AH38" cm="1">
        <f t="array" ref="AH38">IF(AH$34="","",_xlfn.LET(_xlpm.r,INDEX($G$2:$P$31,MATCH(AH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0</v>
      </c>
      <c r="AI38" cm="1">
        <f t="array" ref="AI38">IF(AI$34="","",_xlfn.LET(_xlpm.r,INDEX($G$2:$P$31,MATCH(AI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4</v>
      </c>
      <c r="AJ38" cm="1">
        <f t="array" ref="AJ38">IF(AJ$34="","",_xlfn.LET(_xlpm.r,INDEX($G$2:$P$31,MATCH(AJ$34,$F$2:$F$31,0),0),_xlpm.mn,MIN(_xlpm.r),_xlpm.mx,MAX(_xlpm.r),_xlpm.w,(_xlpm.mx-_xlpm.mn)/5,_xlpm.b,$F38,IF(_xlpm.mx=_xlpm.mn,IF(_xlpm.b=0,COUNT(_xlpm.r),0),SUMPRODUCT((_xlpm.r&gt;=_xlpm.mn+_xlpm.b*_xlpm.w)*(_xlpm.r&lt;_xlpm.mn+(_xlpm.b+1)*_xlpm.w))+IF(_xlpm.b=4,SUMPRODUCT(--(_xlpm.r=_xlpm.mx)),0))))</f>
        <v>0</v>
      </c>
    </row>
    <row r="39" spans="1:36" x14ac:dyDescent="0.3">
      <c r="A39" t="str" cm="1">
        <f t="array" ref="A39">_xlfn.LET(_xlpm.n,ROWS(A$2:A39),_xlpm.block,QUOTIENT(_xlpm.n-1,10),_xlpm.conceptRow,6+_xlpm.block*11,IF(INDEX(Curation!$A:$A,_xlpm.conceptRow)="","",INDEX(Curation!$A:$A,_xlpm.conceptRow)))</f>
        <v>bab</v>
      </c>
      <c r="B39" t="s">
        <v>479</v>
      </c>
      <c r="C39" cm="1">
        <f t="array" ref="C39">_xlfn.LET(_xlpm.n,ROWS(C$2:C39),_xlpm.block,QUOTIENT(_xlpm.n-1,10),_xlpm.pos,MOD(_xlpm.n-1,10),_xlpm.conceptRow,6+_xlpm.block*11,_xlpm.srcRow,_xlpm.conceptRow+_xlpm.pos,IF(INDEX(Curation!$A:$A,_xlpm.conceptRow)="","",INDEX(Curation!$E:$E,_xlpm.srcRow)))</f>
        <v>4</v>
      </c>
      <c r="D39" cm="1">
        <f t="array" ref="D39">_xlfn.LET(_xlpm.n,ROWS(D$2:D39),_xlpm.block,QUOTIENT(_xlpm.n-1,10),_xlpm.pos,MOD(_xlpm.n-1,10),_xlpm.conceptRow,6+_xlpm.block*11,_xlpm.srcRow,_xlpm.conceptRow+_xlpm.pos,IF(INDEX(Curation!$A:$A,_xlpm.conceptRow)="","",INDEX(Curation!$F:$F,_xlpm.srcRow)))</f>
        <v>0.1</v>
      </c>
      <c r="F39">
        <v>4</v>
      </c>
      <c r="G39" cm="1">
        <f t="array" ref="G39">IF(G$34="","",_xlfn.LET(_xlpm.r,INDEX($G$2:$P$31,MATCH(G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2</v>
      </c>
      <c r="H39" cm="1">
        <f t="array" ref="H39">IF(H$34="","",_xlfn.LET(_xlpm.r,INDEX($G$2:$P$31,MATCH(H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3</v>
      </c>
      <c r="I39" cm="1">
        <f t="array" ref="I39">IF(I$34="","",_xlfn.LET(_xlpm.r,INDEX($G$2:$P$31,MATCH(I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2</v>
      </c>
      <c r="J39" cm="1">
        <f t="array" ref="J39">IF(J$34="","",_xlfn.LET(_xlpm.r,INDEX($G$2:$P$31,MATCH(J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2</v>
      </c>
      <c r="K39" cm="1">
        <f t="array" ref="K39">IF(K$34="","",_xlfn.LET(_xlpm.r,INDEX($G$2:$P$31,MATCH(K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1</v>
      </c>
      <c r="L39" cm="1">
        <f t="array" ref="L39">IF(L$34="","",_xlfn.LET(_xlpm.r,INDEX($G$2:$P$31,MATCH(L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2</v>
      </c>
      <c r="M39" cm="1">
        <f t="array" ref="M39">IF(M$34="","",_xlfn.LET(_xlpm.r,INDEX($G$2:$P$31,MATCH(M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3</v>
      </c>
      <c r="N39" cm="1">
        <f t="array" ref="N39">IF(N$34="","",_xlfn.LET(_xlpm.r,INDEX($G$2:$P$31,MATCH(N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2</v>
      </c>
      <c r="O39" cm="1">
        <f t="array" ref="O39">IF(O$34="","",_xlfn.LET(_xlpm.r,INDEX($G$2:$P$31,MATCH(O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2</v>
      </c>
      <c r="P39" cm="1">
        <f t="array" ref="P39">IF(P$34="","",_xlfn.LET(_xlpm.r,INDEX($G$2:$P$31,MATCH(P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2</v>
      </c>
      <c r="Q39" cm="1">
        <f t="array" ref="Q39">IF(Q$34="","",_xlfn.LET(_xlpm.r,INDEX($G$2:$P$31,MATCH(Q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2</v>
      </c>
      <c r="R39" cm="1">
        <f t="array" ref="R39">IF(R$34="","",_xlfn.LET(_xlpm.r,INDEX($G$2:$P$31,MATCH(R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1</v>
      </c>
      <c r="S39" cm="1">
        <f t="array" ref="S39">IF(S$34="","",_xlfn.LET(_xlpm.r,INDEX($G$2:$P$31,MATCH(S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1</v>
      </c>
      <c r="T39" cm="1">
        <f t="array" ref="T39">IF(T$34="","",_xlfn.LET(_xlpm.r,INDEX($G$2:$P$31,MATCH(T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1</v>
      </c>
      <c r="U39" cm="1">
        <f t="array" ref="U39">IF(U$34="","",_xlfn.LET(_xlpm.r,INDEX($G$2:$P$31,MATCH(U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3</v>
      </c>
      <c r="V39" cm="1">
        <f t="array" ref="V39">IF(V$34="","",_xlfn.LET(_xlpm.r,INDEX($G$2:$P$31,MATCH(V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1</v>
      </c>
      <c r="W39" cm="1">
        <f t="array" ref="W39">IF(W$34="","",_xlfn.LET(_xlpm.r,INDEX($G$2:$P$31,MATCH(W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1</v>
      </c>
      <c r="X39" cm="1">
        <f t="array" ref="X39">IF(X$34="","",_xlfn.LET(_xlpm.r,INDEX($G$2:$P$31,MATCH(X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1</v>
      </c>
      <c r="Y39" cm="1">
        <f t="array" ref="Y39">IF(Y$34="","",_xlfn.LET(_xlpm.r,INDEX($G$2:$P$31,MATCH(Y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1</v>
      </c>
      <c r="Z39" cm="1">
        <f t="array" ref="Z39">IF(Z$34="","",_xlfn.LET(_xlpm.r,INDEX($G$2:$P$31,MATCH(Z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1</v>
      </c>
      <c r="AA39" cm="1">
        <f t="array" ref="AA39">IF(AA$34="","",_xlfn.LET(_xlpm.r,INDEX($G$2:$P$31,MATCH(AA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1</v>
      </c>
      <c r="AB39" cm="1">
        <f t="array" ref="AB39">IF(AB$34="","",_xlfn.LET(_xlpm.r,INDEX($G$2:$P$31,MATCH(AB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1</v>
      </c>
      <c r="AC39" cm="1">
        <f t="array" ref="AC39">IF(AC$34="","",_xlfn.LET(_xlpm.r,INDEX($G$2:$P$31,MATCH(AC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1</v>
      </c>
      <c r="AD39" cm="1">
        <f t="array" ref="AD39">IF(AD$34="","",_xlfn.LET(_xlpm.r,INDEX($G$2:$P$31,MATCH(AD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2</v>
      </c>
      <c r="AE39" cm="1">
        <f t="array" ref="AE39">IF(AE$34="","",_xlfn.LET(_xlpm.r,INDEX($G$2:$P$31,MATCH(AE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1</v>
      </c>
      <c r="AF39" cm="1">
        <f t="array" ref="AF39">IF(AF$34="","",_xlfn.LET(_xlpm.r,INDEX($G$2:$P$31,MATCH(AF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1</v>
      </c>
      <c r="AG39" cm="1">
        <f t="array" ref="AG39">IF(AG$34="","",_xlfn.LET(_xlpm.r,INDEX($G$2:$P$31,MATCH(AG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3</v>
      </c>
      <c r="AH39" cm="1">
        <f t="array" ref="AH39">IF(AH$34="","",_xlfn.LET(_xlpm.r,INDEX($G$2:$P$31,MATCH(AH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1</v>
      </c>
      <c r="AI39" cm="1">
        <f t="array" ref="AI39">IF(AI$34="","",_xlfn.LET(_xlpm.r,INDEX($G$2:$P$31,MATCH(AI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1</v>
      </c>
      <c r="AJ39" cm="1">
        <f t="array" ref="AJ39">IF(AJ$34="","",_xlfn.LET(_xlpm.r,INDEX($G$2:$P$31,MATCH(AJ$34,$F$2:$F$31,0),0),_xlpm.mn,MIN(_xlpm.r),_xlpm.mx,MAX(_xlpm.r),_xlpm.w,(_xlpm.mx-_xlpm.mn)/5,_xlpm.b,$F39,IF(_xlpm.mx=_xlpm.mn,IF(_xlpm.b=0,COUNT(_xlpm.r),0),SUMPRODUCT((_xlpm.r&gt;=_xlpm.mn+_xlpm.b*_xlpm.w)*(_xlpm.r&lt;_xlpm.mn+(_xlpm.b+1)*_xlpm.w))+IF(_xlpm.b=4,SUMPRODUCT(--(_xlpm.r=_xlpm.mx)),0))))</f>
        <v>1</v>
      </c>
    </row>
    <row r="40" spans="1:36" x14ac:dyDescent="0.3">
      <c r="A40" t="str" cm="1">
        <f t="array" ref="A40">_xlfn.LET(_xlpm.n,ROWS(A$2:A40),_xlpm.block,QUOTIENT(_xlpm.n-1,10),_xlpm.conceptRow,6+_xlpm.block*11,IF(INDEX(Curation!$A:$A,_xlpm.conceptRow)="","",INDEX(Curation!$A:$A,_xlpm.conceptRow)))</f>
        <v>bab</v>
      </c>
      <c r="B40" t="s">
        <v>480</v>
      </c>
      <c r="C40" cm="1">
        <f t="array" ref="C40">_xlfn.LET(_xlpm.n,ROWS(C$2:C40),_xlpm.block,QUOTIENT(_xlpm.n-1,10),_xlpm.pos,MOD(_xlpm.n-1,10),_xlpm.conceptRow,6+_xlpm.block*11,_xlpm.srcRow,_xlpm.conceptRow+_xlpm.pos,IF(INDEX(Curation!$A:$A,_xlpm.conceptRow)="","",INDEX(Curation!$E:$E,_xlpm.srcRow)))</f>
        <v>3</v>
      </c>
      <c r="D40" cm="1">
        <f t="array" ref="D40">_xlfn.LET(_xlpm.n,ROWS(D$2:D40),_xlpm.block,QUOTIENT(_xlpm.n-1,10),_xlpm.pos,MOD(_xlpm.n-1,10),_xlpm.conceptRow,6+_xlpm.block*11,_xlpm.srcRow,_xlpm.conceptRow+_xlpm.pos,IF(INDEX(Curation!$A:$A,_xlpm.conceptRow)="","",INDEX(Curation!$F:$F,_xlpm.srcRow)))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41" spans="1:36" x14ac:dyDescent="0.3">
      <c r="A41" t="str" cm="1">
        <f t="array" ref="A41">_xlfn.LET(_xlpm.n,ROWS(A$2:A41),_xlpm.block,QUOTIENT(_xlpm.n-1,10),_xlpm.conceptRow,6+_xlpm.block*11,IF(INDEX(Curation!$A:$A,_xlpm.conceptRow)="","",INDEX(Curation!$A:$A,_xlpm.conceptRow)))</f>
        <v>bab</v>
      </c>
      <c r="B41" t="s">
        <v>481</v>
      </c>
      <c r="C41" cm="1">
        <f t="array" ref="C41">_xlfn.LET(_xlpm.n,ROWS(C$2:C41),_xlpm.block,QUOTIENT(_xlpm.n-1,10),_xlpm.pos,MOD(_xlpm.n-1,10),_xlpm.conceptRow,6+_xlpm.block*11,_xlpm.srcRow,_xlpm.conceptRow+_xlpm.pos,IF(INDEX(Curation!$A:$A,_xlpm.conceptRow)="","",INDEX(Curation!$E:$E,_xlpm.srcRow)))</f>
        <v>1</v>
      </c>
      <c r="D41" cm="1">
        <f t="array" ref="D41">_xlfn.LET(_xlpm.n,ROWS(D$2:D41),_xlpm.block,QUOTIENT(_xlpm.n-1,10),_xlpm.pos,MOD(_xlpm.n-1,10),_xlpm.conceptRow,6+_xlpm.block*11,_xlpm.srcRow,_xlpm.conceptRow+_xlpm.pos,IF(INDEX(Curation!$A:$A,_xlpm.conceptRow)="","",INDEX(Curation!$F:$F,_xlpm.srcRow)))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42" spans="1:36" x14ac:dyDescent="0.3">
      <c r="A42" t="str" cm="1">
        <f t="array" ref="A42">_xlfn.LET(_xlpm.n,ROWS(A$2:A42),_xlpm.block,QUOTIENT(_xlpm.n-1,10),_xlpm.conceptRow,6+_xlpm.block*11,IF(INDEX(Curation!$A:$A,_xlpm.conceptRow)="","",INDEX(Curation!$A:$A,_xlpm.conceptRow)))</f>
        <v>ceruza</v>
      </c>
      <c r="B42" t="s">
        <v>472</v>
      </c>
      <c r="C42" cm="1">
        <f t="array" ref="C42">_xlfn.LET(_xlpm.n,ROWS(C$2:C42),_xlpm.block,QUOTIENT(_xlpm.n-1,10),_xlpm.pos,MOD(_xlpm.n-1,10),_xlpm.conceptRow,6+_xlpm.block*11,_xlpm.srcRow,_xlpm.conceptRow+_xlpm.pos,IF(INDEX(Curation!$A:$A,_xlpm.conceptRow)="","",INDEX(Curation!$E:$E,_xlpm.srcRow)))</f>
        <v>6</v>
      </c>
      <c r="D42" cm="1">
        <f t="array" ref="D42">_xlfn.LET(_xlpm.n,ROWS(D$2:D42),_xlpm.block,QUOTIENT(_xlpm.n-1,10),_xlpm.pos,MOD(_xlpm.n-1,10),_xlpm.conceptRow,6+_xlpm.block*11,_xlpm.srcRow,_xlpm.conceptRow+_xlpm.pos,IF(INDEX(Curation!$A:$A,_xlpm.conceptRow)="","",INDEX(Curation!$F:$F,_xlpm.srcRow)))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43" spans="1:36" x14ac:dyDescent="0.3">
      <c r="A43" t="str" cm="1">
        <f t="array" ref="A43">_xlfn.LET(_xlpm.n,ROWS(A$2:A43),_xlpm.block,QUOTIENT(_xlpm.n-1,10),_xlpm.conceptRow,6+_xlpm.block*11,IF(INDEX(Curation!$A:$A,_xlpm.conceptRow)="","",INDEX(Curation!$A:$A,_xlpm.conceptRow)))</f>
        <v>ceruza</v>
      </c>
      <c r="B43" t="s">
        <v>473</v>
      </c>
      <c r="C43" cm="1">
        <f t="array" ref="C43">_xlfn.LET(_xlpm.n,ROWS(C$2:C43),_xlpm.block,QUOTIENT(_xlpm.n-1,10),_xlpm.pos,MOD(_xlpm.n-1,10),_xlpm.conceptRow,6+_xlpm.block*11,_xlpm.srcRow,_xlpm.conceptRow+_xlpm.pos,IF(INDEX(Curation!$A:$A,_xlpm.conceptRow)="","",INDEX(Curation!$E:$E,_xlpm.srcRow)))</f>
        <v>5</v>
      </c>
      <c r="D43" cm="1">
        <f t="array" ref="D43">_xlfn.LET(_xlpm.n,ROWS(D$2:D43),_xlpm.block,QUOTIENT(_xlpm.n-1,10),_xlpm.pos,MOD(_xlpm.n-1,10),_xlpm.conceptRow,6+_xlpm.block*11,_xlpm.srcRow,_xlpm.conceptRow+_xlpm.pos,IF(INDEX(Curation!$A:$A,_xlpm.conceptRow)="","",INDEX(Curation!$F:$F,_xlpm.srcRow)))</f>
        <v>0.33300000000000002</v>
      </c>
      <c r="F43" t="s">
        <v>482</v>
      </c>
      <c r="G43" t="str" cm="1">
        <f t="array" ref="G43">IFERROR(INDEX($F$2:$F$31,COLUMNS($G:G)),"")</f>
        <v>alma</v>
      </c>
      <c r="H43" t="str" cm="1">
        <f t="array" ref="H43">IFERROR(INDEX($F$2:$F$31,COLUMNS($G:H)),"")</f>
        <v>asztal</v>
      </c>
      <c r="I43" t="str" cm="1">
        <f t="array" ref="I43">IFERROR(INDEX($F$2:$F$31,COLUMNS($G:I)),"")</f>
        <v>autó</v>
      </c>
      <c r="J43" t="str" cm="1">
        <f t="array" ref="J43">IFERROR(INDEX($F$2:$F$31,COLUMNS($G:J)),"")</f>
        <v>bab</v>
      </c>
      <c r="K43" t="str" cm="1">
        <f t="array" ref="K43">IFERROR(INDEX($F$2:$F$31,COLUMNS($G:K)),"")</f>
        <v>ceruza</v>
      </c>
      <c r="L43" t="str" cm="1">
        <f t="array" ref="L43">IFERROR(INDEX($F$2:$F$31,COLUMNS($G:L)),"")</f>
        <v>cipő</v>
      </c>
      <c r="M43" t="str" cm="1">
        <f t="array" ref="M43">IFERROR(INDEX($F$2:$F$31,COLUMNS($G:M)),"")</f>
        <v>citrom</v>
      </c>
      <c r="N43" t="str" cm="1">
        <f t="array" ref="N43">IFERROR(INDEX($F$2:$F$31,COLUMNS($G:N)),"")</f>
        <v>eper</v>
      </c>
      <c r="O43" t="str" cm="1">
        <f t="array" ref="O43">IFERROR(INDEX($F$2:$F$31,COLUMNS($G:O)),"")</f>
        <v>erdő</v>
      </c>
      <c r="P43" t="str" cm="1">
        <f t="array" ref="P43">IFERROR(INDEX($F$2:$F$31,COLUMNS($G:P)),"")</f>
        <v>gomba</v>
      </c>
      <c r="Q43" t="str" cm="1">
        <f t="array" ref="Q43">IFERROR(INDEX($F$2:$F$31,COLUMNS($G:Q)),"")</f>
        <v>gyerek</v>
      </c>
      <c r="R43" t="str" cm="1">
        <f t="array" ref="R43">IFERROR(INDEX($F$2:$F$31,COLUMNS($G:R)),"")</f>
        <v>helikopter</v>
      </c>
      <c r="S43" t="str" cm="1">
        <f t="array" ref="S43">IFERROR(INDEX($F$2:$F$31,COLUMNS($G:S)),"")</f>
        <v>hercegnő</v>
      </c>
      <c r="T43" t="str" cm="1">
        <f t="array" ref="T43">IFERROR(INDEX($F$2:$F$31,COLUMNS($G:T)),"")</f>
        <v>játszótér</v>
      </c>
      <c r="U43" t="str" cm="1">
        <f t="array" ref="U43">IFERROR(INDEX($F$2:$F$31,COLUMNS($G:U)),"")</f>
        <v>kacsa</v>
      </c>
      <c r="V43" t="str" cm="1">
        <f t="array" ref="V43">IFERROR(INDEX($F$2:$F$31,COLUMNS($G:V)),"")</f>
        <v>kard</v>
      </c>
      <c r="W43" t="str" cm="1">
        <f t="array" ref="W43">IFERROR(INDEX($F$2:$F$31,COLUMNS($G:W)),"")</f>
        <v>kéz</v>
      </c>
      <c r="X43" t="str" cm="1">
        <f t="array" ref="X43">IFERROR(INDEX($F$2:$F$31,COLUMNS($G:X)),"")</f>
        <v>könyv</v>
      </c>
      <c r="Y43" t="str" cm="1">
        <f t="array" ref="Y43">IFERROR(INDEX($F$2:$F$31,COLUMNS($G:Y)),"")</f>
        <v>krumpli</v>
      </c>
      <c r="Z43" t="str" cm="1">
        <f t="array" ref="Z43">IFERROR(INDEX($F$2:$F$31,COLUMNS($G:Z)),"")</f>
        <v>kutya</v>
      </c>
      <c r="AA43" t="str" cm="1">
        <f t="array" ref="AA43">IFERROR(INDEX($F$2:$F$31,COLUMNS($G:AA)),"")</f>
        <v>láb</v>
      </c>
      <c r="AB43" t="str" cm="1">
        <f t="array" ref="AB43">IFERROR(INDEX($F$2:$F$31,COLUMNS($G:AB)),"")</f>
        <v>ló</v>
      </c>
      <c r="AC43" t="str" cm="1">
        <f t="array" ref="AC43">IFERROR(INDEX($F$2:$F$31,COLUMNS($G:AC)),"")</f>
        <v>nadrág</v>
      </c>
      <c r="AD43" t="str" cm="1">
        <f t="array" ref="AD43">IFERROR(INDEX($F$2:$F$31,COLUMNS($G:AD)),"")</f>
        <v>nappali</v>
      </c>
      <c r="AE43" t="str" cm="1">
        <f t="array" ref="AE43">IFERROR(INDEX($F$2:$F$31,COLUMNS($G:AE)),"")</f>
        <v>pulóver</v>
      </c>
      <c r="AF43" t="str" cm="1">
        <f t="array" ref="AF43">IFERROR(INDEX($F$2:$F$31,COLUMNS($G:AF)),"")</f>
        <v>seprű</v>
      </c>
      <c r="AG43" t="str" cm="1">
        <f t="array" ref="AG43">IFERROR(INDEX($F$2:$F$31,COLUMNS($G:AG)),"")</f>
        <v>szem</v>
      </c>
      <c r="AH43" t="str" cm="1">
        <f t="array" ref="AH43">IFERROR(INDEX($F$2:$F$31,COLUMNS($G:AH)),"")</f>
        <v>szőnyeg</v>
      </c>
      <c r="AI43" t="str" cm="1">
        <f t="array" ref="AI43">IFERROR(INDEX($F$2:$F$31,COLUMNS($G:AI)),"")</f>
        <v>tűzoltó</v>
      </c>
      <c r="AJ43" t="str" cm="1">
        <f t="array" ref="AJ43">IFERROR(INDEX($F$2:$F$31,COLUMNS($G:AJ)),"")</f>
        <v>vonat</v>
      </c>
    </row>
    <row r="44" spans="1:36" x14ac:dyDescent="0.3">
      <c r="A44" t="str" cm="1">
        <f t="array" ref="A44">_xlfn.LET(_xlpm.n,ROWS(A$2:A44),_xlpm.block,QUOTIENT(_xlpm.n-1,10),_xlpm.conceptRow,6+_xlpm.block*11,IF(INDEX(Curation!$A:$A,_xlpm.conceptRow)="","",INDEX(Curation!$A:$A,_xlpm.conceptRow)))</f>
        <v>ceruza</v>
      </c>
      <c r="B44" t="s">
        <v>474</v>
      </c>
      <c r="C44" cm="1">
        <f t="array" ref="C44">_xlfn.LET(_xlpm.n,ROWS(C$2:C44),_xlpm.block,QUOTIENT(_xlpm.n-1,10),_xlpm.pos,MOD(_xlpm.n-1,10),_xlpm.conceptRow,6+_xlpm.block*11,_xlpm.srcRow,_xlpm.conceptRow+_xlpm.pos,IF(INDEX(Curation!$A:$A,_xlpm.conceptRow)="","",INDEX(Curation!$E:$E,_xlpm.srcRow)))</f>
        <v>7</v>
      </c>
      <c r="D44" cm="1">
        <f t="array" ref="D44">_xlfn.LET(_xlpm.n,ROWS(D$2:D44),_xlpm.block,QUOTIENT(_xlpm.n-1,10),_xlpm.pos,MOD(_xlpm.n-1,10),_xlpm.conceptRow,6+_xlpm.block*11,_xlpm.srcRow,_xlpm.conceptRow+_xlpm.pos,IF(INDEX(Curation!$A:$A,_xlpm.conceptRow)="","",INDEX(Curation!$F:$F,_xlpm.srcRow)))</f>
        <v>0.2</v>
      </c>
      <c r="F44">
        <v>0</v>
      </c>
      <c r="G44" cm="1">
        <f t="array" ref="G44">IF(G$43="","",_xlfn.LET(_xlpm.r,INDEX($U$2:$AD$31,MATCH(G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3</v>
      </c>
      <c r="H44" cm="1">
        <f t="array" ref="H44">IF(H$43="","",_xlfn.LET(_xlpm.r,INDEX($U$2:$AD$31,MATCH(H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2</v>
      </c>
      <c r="I44" cm="1">
        <f t="array" ref="I44">IF(I$43="","",_xlfn.LET(_xlpm.r,INDEX($U$2:$AD$31,MATCH(I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1</v>
      </c>
      <c r="J44" cm="1">
        <f t="array" ref="J44">IF(J$43="","",_xlfn.LET(_xlpm.r,INDEX($U$2:$AD$31,MATCH(J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6</v>
      </c>
      <c r="K44" cm="1">
        <f t="array" ref="K44">IF(K$43="","",_xlfn.LET(_xlpm.r,INDEX($U$2:$AD$31,MATCH(K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4</v>
      </c>
      <c r="L44" cm="1">
        <f t="array" ref="L44">IF(L$43="","",_xlfn.LET(_xlpm.r,INDEX($U$2:$AD$31,MATCH(L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3</v>
      </c>
      <c r="M44" cm="1">
        <f t="array" ref="M44">IF(M$43="","",_xlfn.LET(_xlpm.r,INDEX($U$2:$AD$31,MATCH(M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1</v>
      </c>
      <c r="N44" cm="1">
        <f t="array" ref="N44">IF(N$43="","",_xlfn.LET(_xlpm.r,INDEX($U$2:$AD$31,MATCH(N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5</v>
      </c>
      <c r="O44" cm="1">
        <f t="array" ref="O44">IF(O$43="","",_xlfn.LET(_xlpm.r,INDEX($U$2:$AD$31,MATCH(O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2</v>
      </c>
      <c r="P44" cm="1">
        <f t="array" ref="P44">IF(P$43="","",_xlfn.LET(_xlpm.r,INDEX($U$2:$AD$31,MATCH(P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5</v>
      </c>
      <c r="Q44" cm="1">
        <f t="array" ref="Q44">IF(Q$43="","",_xlfn.LET(_xlpm.r,INDEX($U$2:$AD$31,MATCH(Q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3</v>
      </c>
      <c r="R44" cm="1">
        <f t="array" ref="R44">IF(R$43="","",_xlfn.LET(_xlpm.r,INDEX($U$2:$AD$31,MATCH(R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1</v>
      </c>
      <c r="S44" cm="1">
        <f t="array" ref="S44">IF(S$43="","",_xlfn.LET(_xlpm.r,INDEX($U$2:$AD$31,MATCH(S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2</v>
      </c>
      <c r="T44" cm="1">
        <f t="array" ref="T44">IF(T$43="","",_xlfn.LET(_xlpm.r,INDEX($U$2:$AD$31,MATCH(T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1</v>
      </c>
      <c r="U44" cm="1">
        <f t="array" ref="U44">IF(U$43="","",_xlfn.LET(_xlpm.r,INDEX($U$2:$AD$31,MATCH(U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3</v>
      </c>
      <c r="V44" cm="1">
        <f t="array" ref="V44">IF(V$43="","",_xlfn.LET(_xlpm.r,INDEX($U$2:$AD$31,MATCH(V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3</v>
      </c>
      <c r="W44" cm="1">
        <f t="array" ref="W44">IF(W$43="","",_xlfn.LET(_xlpm.r,INDEX($U$2:$AD$31,MATCH(W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2</v>
      </c>
      <c r="X44" cm="1">
        <f t="array" ref="X44">IF(X$43="","",_xlfn.LET(_xlpm.r,INDEX($U$2:$AD$31,MATCH(X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2</v>
      </c>
      <c r="Y44" cm="1">
        <f t="array" ref="Y44">IF(Y$43="","",_xlfn.LET(_xlpm.r,INDEX($U$2:$AD$31,MATCH(Y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4</v>
      </c>
      <c r="Z44" cm="1">
        <f t="array" ref="Z44">IF(Z$43="","",_xlfn.LET(_xlpm.r,INDEX($U$2:$AD$31,MATCH(Z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2</v>
      </c>
      <c r="AA44" cm="1">
        <f t="array" ref="AA44">IF(AA$43="","",_xlfn.LET(_xlpm.r,INDEX($U$2:$AD$31,MATCH(AA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2</v>
      </c>
      <c r="AB44" cm="1">
        <f t="array" ref="AB44">IF(AB$43="","",_xlfn.LET(_xlpm.r,INDEX($U$2:$AD$31,MATCH(AB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2</v>
      </c>
      <c r="AC44" cm="1">
        <f t="array" ref="AC44">IF(AC$43="","",_xlfn.LET(_xlpm.r,INDEX($U$2:$AD$31,MATCH(AC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2</v>
      </c>
      <c r="AD44" cm="1">
        <f t="array" ref="AD44">IF(AD$43="","",_xlfn.LET(_xlpm.r,INDEX($U$2:$AD$31,MATCH(AD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2</v>
      </c>
      <c r="AE44" cm="1">
        <f t="array" ref="AE44">IF(AE$43="","",_xlfn.LET(_xlpm.r,INDEX($U$2:$AD$31,MATCH(AE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3</v>
      </c>
      <c r="AF44" cm="1">
        <f t="array" ref="AF44">IF(AF$43="","",_xlfn.LET(_xlpm.r,INDEX($U$2:$AD$31,MATCH(AF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6</v>
      </c>
      <c r="AG44" cm="1">
        <f t="array" ref="AG44">IF(AG$43="","",_xlfn.LET(_xlpm.r,INDEX($U$2:$AD$31,MATCH(AG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5</v>
      </c>
      <c r="AH44" cm="1">
        <f t="array" ref="AH44">IF(AH$43="","",_xlfn.LET(_xlpm.r,INDEX($U$2:$AD$31,MATCH(AH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1</v>
      </c>
      <c r="AI44" cm="1">
        <f t="array" ref="AI44">IF(AI$43="","",_xlfn.LET(_xlpm.r,INDEX($U$2:$AD$31,MATCH(AI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2</v>
      </c>
      <c r="AJ44" cm="1">
        <f t="array" ref="AJ44">IF(AJ$43="","",_xlfn.LET(_xlpm.r,INDEX($U$2:$AD$31,MATCH(AJ$34,$T$2:$T$31,0),0),_xlpm.mn,MIN(_xlpm.r),_xlpm.mx,MAX(_xlpm.r),_xlpm.w,(_xlpm.mx-_xlpm.mn)/5,_xlpm.b,$F44,IF(_xlpm.mx=_xlpm.mn,IF(_xlpm.b=0,COUNT(_xlpm.r),0),SUMPRODUCT((_xlpm.r&gt;=_xlpm.mn+_xlpm.b*_xlpm.w)*(_xlpm.r&lt;_xlpm.mn+(_xlpm.b+1)*_xlpm.w))+IF(_xlpm.b=4,SUMPRODUCT(--(_xlpm.r=_xlpm.mx)),0))))</f>
        <v>1</v>
      </c>
    </row>
    <row r="45" spans="1:36" x14ac:dyDescent="0.3">
      <c r="A45" t="str" cm="1">
        <f t="array" ref="A45">_xlfn.LET(_xlpm.n,ROWS(A$2:A45),_xlpm.block,QUOTIENT(_xlpm.n-1,10),_xlpm.conceptRow,6+_xlpm.block*11,IF(INDEX(Curation!$A:$A,_xlpm.conceptRow)="","",INDEX(Curation!$A:$A,_xlpm.conceptRow)))</f>
        <v>ceruza</v>
      </c>
      <c r="B45" t="s">
        <v>475</v>
      </c>
      <c r="C45" cm="1">
        <f t="array" ref="C45">_xlfn.LET(_xlpm.n,ROWS(C$2:C45),_xlpm.block,QUOTIENT(_xlpm.n-1,10),_xlpm.pos,MOD(_xlpm.n-1,10),_xlpm.conceptRow,6+_xlpm.block*11,_xlpm.srcRow,_xlpm.conceptRow+_xlpm.pos,IF(INDEX(Curation!$A:$A,_xlpm.conceptRow)="","",INDEX(Curation!$E:$E,_xlpm.srcRow)))</f>
        <v>4</v>
      </c>
      <c r="D45" cm="1">
        <f t="array" ref="D45">_xlfn.LET(_xlpm.n,ROWS(D$2:D45),_xlpm.block,QUOTIENT(_xlpm.n-1,10),_xlpm.pos,MOD(_xlpm.n-1,10),_xlpm.conceptRow,6+_xlpm.block*11,_xlpm.srcRow,_xlpm.conceptRow+_xlpm.pos,IF(INDEX(Curation!$A:$A,_xlpm.conceptRow)="","",INDEX(Curation!$F:$F,_xlpm.srcRow)))</f>
        <v>0.16700000000000001</v>
      </c>
      <c r="F45">
        <v>1</v>
      </c>
      <c r="G45" cm="1">
        <f t="array" ref="G45">IF(G$43="","",_xlfn.LET(_xlpm.r,INDEX($U$2:$AD$31,MATCH(G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2</v>
      </c>
      <c r="H45" cm="1">
        <f t="array" ref="H45">IF(H$43="","",_xlfn.LET(_xlpm.r,INDEX($U$2:$AD$31,MATCH(H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2</v>
      </c>
      <c r="I45" cm="1">
        <f t="array" ref="I45">IF(I$43="","",_xlfn.LET(_xlpm.r,INDEX($U$2:$AD$31,MATCH(I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1</v>
      </c>
      <c r="J45" cm="1">
        <f t="array" ref="J45">IF(J$43="","",_xlfn.LET(_xlpm.r,INDEX($U$2:$AD$31,MATCH(J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0</v>
      </c>
      <c r="K45" cm="1">
        <f t="array" ref="K45">IF(K$43="","",_xlfn.LET(_xlpm.r,INDEX($U$2:$AD$31,MATCH(K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1</v>
      </c>
      <c r="L45" cm="1">
        <f t="array" ref="L45">IF(L$43="","",_xlfn.LET(_xlpm.r,INDEX($U$2:$AD$31,MATCH(L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1</v>
      </c>
      <c r="M45" cm="1">
        <f t="array" ref="M45">IF(M$43="","",_xlfn.LET(_xlpm.r,INDEX($U$2:$AD$31,MATCH(M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5</v>
      </c>
      <c r="N45" cm="1">
        <f t="array" ref="N45">IF(N$43="","",_xlfn.LET(_xlpm.r,INDEX($U$2:$AD$31,MATCH(N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0</v>
      </c>
      <c r="O45" cm="1">
        <f t="array" ref="O45">IF(O$43="","",_xlfn.LET(_xlpm.r,INDEX($U$2:$AD$31,MATCH(O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0</v>
      </c>
      <c r="P45" cm="1">
        <f t="array" ref="P45">IF(P$43="","",_xlfn.LET(_xlpm.r,INDEX($U$2:$AD$31,MATCH(P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1</v>
      </c>
      <c r="Q45" cm="1">
        <f t="array" ref="Q45">IF(Q$43="","",_xlfn.LET(_xlpm.r,INDEX($U$2:$AD$31,MATCH(Q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1</v>
      </c>
      <c r="R45" cm="1">
        <f t="array" ref="R45">IF(R$43="","",_xlfn.LET(_xlpm.r,INDEX($U$2:$AD$31,MATCH(R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1</v>
      </c>
      <c r="S45" cm="1">
        <f t="array" ref="S45">IF(S$43="","",_xlfn.LET(_xlpm.r,INDEX($U$2:$AD$31,MATCH(S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1</v>
      </c>
      <c r="T45" cm="1">
        <f t="array" ref="T45">IF(T$43="","",_xlfn.LET(_xlpm.r,INDEX($U$2:$AD$31,MATCH(T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2</v>
      </c>
      <c r="U45" cm="1">
        <f t="array" ref="U45">IF(U$43="","",_xlfn.LET(_xlpm.r,INDEX($U$2:$AD$31,MATCH(U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3</v>
      </c>
      <c r="V45" cm="1">
        <f t="array" ref="V45">IF(V$43="","",_xlfn.LET(_xlpm.r,INDEX($U$2:$AD$31,MATCH(V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1</v>
      </c>
      <c r="W45" cm="1">
        <f t="array" ref="W45">IF(W$43="","",_xlfn.LET(_xlpm.r,INDEX($U$2:$AD$31,MATCH(W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1</v>
      </c>
      <c r="X45" cm="1">
        <f t="array" ref="X45">IF(X$43="","",_xlfn.LET(_xlpm.r,INDEX($U$2:$AD$31,MATCH(X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3</v>
      </c>
      <c r="Y45" cm="1">
        <f t="array" ref="Y45">IF(Y$43="","",_xlfn.LET(_xlpm.r,INDEX($U$2:$AD$31,MATCH(Y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0</v>
      </c>
      <c r="Z45" cm="1">
        <f t="array" ref="Z45">IF(Z$43="","",_xlfn.LET(_xlpm.r,INDEX($U$2:$AD$31,MATCH(Z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1</v>
      </c>
      <c r="AA45" cm="1">
        <f t="array" ref="AA45">IF(AA$43="","",_xlfn.LET(_xlpm.r,INDEX($U$2:$AD$31,MATCH(AA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0</v>
      </c>
      <c r="AB45" cm="1">
        <f t="array" ref="AB45">IF(AB$43="","",_xlfn.LET(_xlpm.r,INDEX($U$2:$AD$31,MATCH(AB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1</v>
      </c>
      <c r="AC45" cm="1">
        <f t="array" ref="AC45">IF(AC$43="","",_xlfn.LET(_xlpm.r,INDEX($U$2:$AD$31,MATCH(AC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2</v>
      </c>
      <c r="AD45" cm="1">
        <f t="array" ref="AD45">IF(AD$43="","",_xlfn.LET(_xlpm.r,INDEX($U$2:$AD$31,MATCH(AD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1</v>
      </c>
      <c r="AE45" cm="1">
        <f t="array" ref="AE45">IF(AE$43="","",_xlfn.LET(_xlpm.r,INDEX($U$2:$AD$31,MATCH(AE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0</v>
      </c>
      <c r="AF45" cm="1">
        <f t="array" ref="AF45">IF(AF$43="","",_xlfn.LET(_xlpm.r,INDEX($U$2:$AD$31,MATCH(AF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2</v>
      </c>
      <c r="AG45" cm="1">
        <f t="array" ref="AG45">IF(AG$43="","",_xlfn.LET(_xlpm.r,INDEX($U$2:$AD$31,MATCH(AG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0</v>
      </c>
      <c r="AH45" cm="1">
        <f t="array" ref="AH45">IF(AH$43="","",_xlfn.LET(_xlpm.r,INDEX($U$2:$AD$31,MATCH(AH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1</v>
      </c>
      <c r="AI45" cm="1">
        <f t="array" ref="AI45">IF(AI$43="","",_xlfn.LET(_xlpm.r,INDEX($U$2:$AD$31,MATCH(AI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1</v>
      </c>
      <c r="AJ45" cm="1">
        <f t="array" ref="AJ45">IF(AJ$43="","",_xlfn.LET(_xlpm.r,INDEX($U$2:$AD$31,MATCH(AJ$34,$T$2:$T$31,0),0),_xlpm.mn,MIN(_xlpm.r),_xlpm.mx,MAX(_xlpm.r),_xlpm.w,(_xlpm.mx-_xlpm.mn)/5,_xlpm.b,$F45,IF(_xlpm.mx=_xlpm.mn,IF(_xlpm.b=0,COUNT(_xlpm.r),0),SUMPRODUCT((_xlpm.r&gt;=_xlpm.mn+_xlpm.b*_xlpm.w)*(_xlpm.r&lt;_xlpm.mn+(_xlpm.b+1)*_xlpm.w))+IF(_xlpm.b=4,SUMPRODUCT(--(_xlpm.r=_xlpm.mx)),0))))</f>
        <v>1</v>
      </c>
    </row>
    <row r="46" spans="1:36" x14ac:dyDescent="0.3">
      <c r="A46" t="str" cm="1">
        <f t="array" ref="A46">_xlfn.LET(_xlpm.n,ROWS(A$2:A46),_xlpm.block,QUOTIENT(_xlpm.n-1,10),_xlpm.conceptRow,6+_xlpm.block*11,IF(INDEX(Curation!$A:$A,_xlpm.conceptRow)="","",INDEX(Curation!$A:$A,_xlpm.conceptRow)))</f>
        <v>ceruza</v>
      </c>
      <c r="B46" t="s">
        <v>476</v>
      </c>
      <c r="C46" cm="1">
        <f t="array" ref="C46">_xlfn.LET(_xlpm.n,ROWS(C$2:C46),_xlpm.block,QUOTIENT(_xlpm.n-1,10),_xlpm.pos,MOD(_xlpm.n-1,10),_xlpm.conceptRow,6+_xlpm.block*11,_xlpm.srcRow,_xlpm.conceptRow+_xlpm.pos,IF(INDEX(Curation!$A:$A,_xlpm.conceptRow)="","",INDEX(Curation!$E:$E,_xlpm.srcRow)))</f>
        <v>1</v>
      </c>
      <c r="D46" cm="1">
        <f t="array" ref="D46">_xlfn.LET(_xlpm.n,ROWS(D$2:D46),_xlpm.block,QUOTIENT(_xlpm.n-1,10),_xlpm.pos,MOD(_xlpm.n-1,10),_xlpm.conceptRow,6+_xlpm.block*11,_xlpm.srcRow,_xlpm.conceptRow+_xlpm.pos,IF(INDEX(Curation!$A:$A,_xlpm.conceptRow)="","",INDEX(Curation!$F:$F,_xlpm.srcRow)))</f>
        <v>0.14299999999999999</v>
      </c>
      <c r="F46">
        <v>2</v>
      </c>
      <c r="G46" cm="1">
        <f t="array" ref="G46">IF(G$43="","",_xlfn.LET(_xlpm.r,INDEX($U$2:$AD$31,MATCH(G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0</v>
      </c>
      <c r="H46" cm="1">
        <f t="array" ref="H46">IF(H$43="","",_xlfn.LET(_xlpm.r,INDEX($U$2:$AD$31,MATCH(H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1</v>
      </c>
      <c r="I46" cm="1">
        <f t="array" ref="I46">IF(I$43="","",_xlfn.LET(_xlpm.r,INDEX($U$2:$AD$31,MATCH(I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3</v>
      </c>
      <c r="J46" cm="1">
        <f t="array" ref="J46">IF(J$43="","",_xlfn.LET(_xlpm.r,INDEX($U$2:$AD$31,MATCH(J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2</v>
      </c>
      <c r="K46" cm="1">
        <f t="array" ref="K46">IF(K$43="","",_xlfn.LET(_xlpm.r,INDEX($U$2:$AD$31,MATCH(K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2</v>
      </c>
      <c r="L46" cm="1">
        <f t="array" ref="L46">IF(L$43="","",_xlfn.LET(_xlpm.r,INDEX($U$2:$AD$31,MATCH(L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1</v>
      </c>
      <c r="M46" cm="1">
        <f t="array" ref="M46">IF(M$43="","",_xlfn.LET(_xlpm.r,INDEX($U$2:$AD$31,MATCH(M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0</v>
      </c>
      <c r="N46" cm="1">
        <f t="array" ref="N46">IF(N$43="","",_xlfn.LET(_xlpm.r,INDEX($U$2:$AD$31,MATCH(N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1</v>
      </c>
      <c r="O46" cm="1">
        <f t="array" ref="O46">IF(O$43="","",_xlfn.LET(_xlpm.r,INDEX($U$2:$AD$31,MATCH(O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3</v>
      </c>
      <c r="P46" cm="1">
        <f t="array" ref="P46">IF(P$43="","",_xlfn.LET(_xlpm.r,INDEX($U$2:$AD$31,MATCH(P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0</v>
      </c>
      <c r="Q46" cm="1">
        <f t="array" ref="Q46">IF(Q$43="","",_xlfn.LET(_xlpm.r,INDEX($U$2:$AD$31,MATCH(Q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1</v>
      </c>
      <c r="R46" cm="1">
        <f t="array" ref="R46">IF(R$43="","",_xlfn.LET(_xlpm.r,INDEX($U$2:$AD$31,MATCH(R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3</v>
      </c>
      <c r="S46" cm="1">
        <f t="array" ref="S46">IF(S$43="","",_xlfn.LET(_xlpm.r,INDEX($U$2:$AD$31,MATCH(S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2</v>
      </c>
      <c r="T46" cm="1">
        <f t="array" ref="T46">IF(T$43="","",_xlfn.LET(_xlpm.r,INDEX($U$2:$AD$31,MATCH(T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2</v>
      </c>
      <c r="U46" cm="1">
        <f t="array" ref="U46">IF(U$43="","",_xlfn.LET(_xlpm.r,INDEX($U$2:$AD$31,MATCH(U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2</v>
      </c>
      <c r="V46" cm="1">
        <f t="array" ref="V46">IF(V$43="","",_xlfn.LET(_xlpm.r,INDEX($U$2:$AD$31,MATCH(V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3</v>
      </c>
      <c r="W46" cm="1">
        <f t="array" ref="W46">IF(W$43="","",_xlfn.LET(_xlpm.r,INDEX($U$2:$AD$31,MATCH(W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2</v>
      </c>
      <c r="X46" cm="1">
        <f t="array" ref="X46">IF(X$43="","",_xlfn.LET(_xlpm.r,INDEX($U$2:$AD$31,MATCH(X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0</v>
      </c>
      <c r="Y46" cm="1">
        <f t="array" ref="Y46">IF(Y$43="","",_xlfn.LET(_xlpm.r,INDEX($U$2:$AD$31,MATCH(Y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4</v>
      </c>
      <c r="Z46" cm="1">
        <f t="array" ref="Z46">IF(Z$43="","",_xlfn.LET(_xlpm.r,INDEX($U$2:$AD$31,MATCH(Z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1</v>
      </c>
      <c r="AA46" cm="1">
        <f t="array" ref="AA46">IF(AA$43="","",_xlfn.LET(_xlpm.r,INDEX($U$2:$AD$31,MATCH(AA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2</v>
      </c>
      <c r="AB46" cm="1">
        <f t="array" ref="AB46">IF(AB$43="","",_xlfn.LET(_xlpm.r,INDEX($U$2:$AD$31,MATCH(AB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3</v>
      </c>
      <c r="AC46" cm="1">
        <f t="array" ref="AC46">IF(AC$43="","",_xlfn.LET(_xlpm.r,INDEX($U$2:$AD$31,MATCH(AC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1</v>
      </c>
      <c r="AD46" cm="1">
        <f t="array" ref="AD46">IF(AD$43="","",_xlfn.LET(_xlpm.r,INDEX($U$2:$AD$31,MATCH(AD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1</v>
      </c>
      <c r="AE46" cm="1">
        <f t="array" ref="AE46">IF(AE$43="","",_xlfn.LET(_xlpm.r,INDEX($U$2:$AD$31,MATCH(AE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3</v>
      </c>
      <c r="AF46" cm="1">
        <f t="array" ref="AF46">IF(AF$43="","",_xlfn.LET(_xlpm.r,INDEX($U$2:$AD$31,MATCH(AF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0</v>
      </c>
      <c r="AG46" cm="1">
        <f t="array" ref="AG46">IF(AG$43="","",_xlfn.LET(_xlpm.r,INDEX($U$2:$AD$31,MATCH(AG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2</v>
      </c>
      <c r="AH46" cm="1">
        <f t="array" ref="AH46">IF(AH$43="","",_xlfn.LET(_xlpm.r,INDEX($U$2:$AD$31,MATCH(AH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3</v>
      </c>
      <c r="AI46" cm="1">
        <f t="array" ref="AI46">IF(AI$43="","",_xlfn.LET(_xlpm.r,INDEX($U$2:$AD$31,MATCH(AI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0</v>
      </c>
      <c r="AJ46" cm="1">
        <f t="array" ref="AJ46">IF(AJ$43="","",_xlfn.LET(_xlpm.r,INDEX($U$2:$AD$31,MATCH(AJ$34,$T$2:$T$31,0),0),_xlpm.mn,MIN(_xlpm.r),_xlpm.mx,MAX(_xlpm.r),_xlpm.w,(_xlpm.mx-_xlpm.mn)/5,_xlpm.b,$F46,IF(_xlpm.mx=_xlpm.mn,IF(_xlpm.b=0,COUNT(_xlpm.r),0),SUMPRODUCT((_xlpm.r&gt;=_xlpm.mn+_xlpm.b*_xlpm.w)*(_xlpm.r&lt;_xlpm.mn+(_xlpm.b+1)*_xlpm.w))+IF(_xlpm.b=4,SUMPRODUCT(--(_xlpm.r=_xlpm.mx)),0))))</f>
        <v>3</v>
      </c>
    </row>
    <row r="47" spans="1:36" x14ac:dyDescent="0.3">
      <c r="A47" t="str" cm="1">
        <f t="array" ref="A47">_xlfn.LET(_xlpm.n,ROWS(A$2:A47),_xlpm.block,QUOTIENT(_xlpm.n-1,10),_xlpm.conceptRow,6+_xlpm.block*11,IF(INDEX(Curation!$A:$A,_xlpm.conceptRow)="","",INDEX(Curation!$A:$A,_xlpm.conceptRow)))</f>
        <v>ceruza</v>
      </c>
      <c r="B47" t="s">
        <v>477</v>
      </c>
      <c r="C47" cm="1">
        <f t="array" ref="C47">_xlfn.LET(_xlpm.n,ROWS(C$2:C47),_xlpm.block,QUOTIENT(_xlpm.n-1,10),_xlpm.pos,MOD(_xlpm.n-1,10),_xlpm.conceptRow,6+_xlpm.block*11,_xlpm.srcRow,_xlpm.conceptRow+_xlpm.pos,IF(INDEX(Curation!$A:$A,_xlpm.conceptRow)="","",INDEX(Curation!$E:$E,_xlpm.srcRow)))</f>
        <v>1</v>
      </c>
      <c r="D47" cm="1">
        <f t="array" ref="D47">_xlfn.LET(_xlpm.n,ROWS(D$2:D47),_xlpm.block,QUOTIENT(_xlpm.n-1,10),_xlpm.pos,MOD(_xlpm.n-1,10),_xlpm.conceptRow,6+_xlpm.block*11,_xlpm.srcRow,_xlpm.conceptRow+_xlpm.pos,IF(INDEX(Curation!$A:$A,_xlpm.conceptRow)="","",INDEX(Curation!$F:$F,_xlpm.srcRow)))</f>
        <v>0.33300000000000002</v>
      </c>
      <c r="F47">
        <v>3</v>
      </c>
      <c r="G47" cm="1">
        <f t="array" ref="G47">IF(G$43="","",_xlfn.LET(_xlpm.r,INDEX($U$2:$AD$31,MATCH(G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4</v>
      </c>
      <c r="H47" cm="1">
        <f t="array" ref="H47">IF(H$43="","",_xlfn.LET(_xlpm.r,INDEX($U$2:$AD$31,MATCH(H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3</v>
      </c>
      <c r="I47" cm="1">
        <f t="array" ref="I47">IF(I$43="","",_xlfn.LET(_xlpm.r,INDEX($U$2:$AD$31,MATCH(I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2</v>
      </c>
      <c r="J47" cm="1">
        <f t="array" ref="J47">IF(J$43="","",_xlfn.LET(_xlpm.r,INDEX($U$2:$AD$31,MATCH(J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1</v>
      </c>
      <c r="K47" cm="1">
        <f t="array" ref="K47">IF(K$43="","",_xlfn.LET(_xlpm.r,INDEX($U$2:$AD$31,MATCH(K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0</v>
      </c>
      <c r="L47" cm="1">
        <f t="array" ref="L47">IF(L$43="","",_xlfn.LET(_xlpm.r,INDEX($U$2:$AD$31,MATCH(L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2</v>
      </c>
      <c r="M47" cm="1">
        <f t="array" ref="M47">IF(M$43="","",_xlfn.LET(_xlpm.r,INDEX($U$2:$AD$31,MATCH(M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1</v>
      </c>
      <c r="N47" cm="1">
        <f t="array" ref="N47">IF(N$43="","",_xlfn.LET(_xlpm.r,INDEX($U$2:$AD$31,MATCH(N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1</v>
      </c>
      <c r="O47" cm="1">
        <f t="array" ref="O47">IF(O$43="","",_xlfn.LET(_xlpm.r,INDEX($U$2:$AD$31,MATCH(O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1</v>
      </c>
      <c r="P47" cm="1">
        <f t="array" ref="P47">IF(P$43="","",_xlfn.LET(_xlpm.r,INDEX($U$2:$AD$31,MATCH(P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3</v>
      </c>
      <c r="Q47" cm="1">
        <f t="array" ref="Q47">IF(Q$43="","",_xlfn.LET(_xlpm.r,INDEX($U$2:$AD$31,MATCH(Q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2</v>
      </c>
      <c r="R47" cm="1">
        <f t="array" ref="R47">IF(R$43="","",_xlfn.LET(_xlpm.r,INDEX($U$2:$AD$31,MATCH(R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2</v>
      </c>
      <c r="S47" cm="1">
        <f t="array" ref="S47">IF(S$43="","",_xlfn.LET(_xlpm.r,INDEX($U$2:$AD$31,MATCH(S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0</v>
      </c>
      <c r="T47" cm="1">
        <f t="array" ref="T47">IF(T$43="","",_xlfn.LET(_xlpm.r,INDEX($U$2:$AD$31,MATCH(T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0</v>
      </c>
      <c r="U47" cm="1">
        <f t="array" ref="U47">IF(U$43="","",_xlfn.LET(_xlpm.r,INDEX($U$2:$AD$31,MATCH(U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1</v>
      </c>
      <c r="V47" cm="1">
        <f t="array" ref="V47">IF(V$43="","",_xlfn.LET(_xlpm.r,INDEX($U$2:$AD$31,MATCH(V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1</v>
      </c>
      <c r="W47" cm="1">
        <f t="array" ref="W47">IF(W$43="","",_xlfn.LET(_xlpm.r,INDEX($U$2:$AD$31,MATCH(W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2</v>
      </c>
      <c r="X47" cm="1">
        <f t="array" ref="X47">IF(X$43="","",_xlfn.LET(_xlpm.r,INDEX($U$2:$AD$31,MATCH(X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1</v>
      </c>
      <c r="Y47" cm="1">
        <f t="array" ref="Y47">IF(Y$43="","",_xlfn.LET(_xlpm.r,INDEX($U$2:$AD$31,MATCH(Y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1</v>
      </c>
      <c r="Z47" cm="1">
        <f t="array" ref="Z47">IF(Z$43="","",_xlfn.LET(_xlpm.r,INDEX($U$2:$AD$31,MATCH(Z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2</v>
      </c>
      <c r="AA47" cm="1">
        <f t="array" ref="AA47">IF(AA$43="","",_xlfn.LET(_xlpm.r,INDEX($U$2:$AD$31,MATCH(AA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2</v>
      </c>
      <c r="AB47" cm="1">
        <f t="array" ref="AB47">IF(AB$43="","",_xlfn.LET(_xlpm.r,INDEX($U$2:$AD$31,MATCH(AB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2</v>
      </c>
      <c r="AC47" cm="1">
        <f t="array" ref="AC47">IF(AC$43="","",_xlfn.LET(_xlpm.r,INDEX($U$2:$AD$31,MATCH(AC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2</v>
      </c>
      <c r="AD47" cm="1">
        <f t="array" ref="AD47">IF(AD$43="","",_xlfn.LET(_xlpm.r,INDEX($U$2:$AD$31,MATCH(AD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2</v>
      </c>
      <c r="AE47" cm="1">
        <f t="array" ref="AE47">IF(AE$43="","",_xlfn.LET(_xlpm.r,INDEX($U$2:$AD$31,MATCH(AE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0</v>
      </c>
      <c r="AF47" cm="1">
        <f t="array" ref="AF47">IF(AF$43="","",_xlfn.LET(_xlpm.r,INDEX($U$2:$AD$31,MATCH(AF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1</v>
      </c>
      <c r="AG47" cm="1">
        <f t="array" ref="AG47">IF(AG$43="","",_xlfn.LET(_xlpm.r,INDEX($U$2:$AD$31,MATCH(AG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1</v>
      </c>
      <c r="AH47" cm="1">
        <f t="array" ref="AH47">IF(AH$43="","",_xlfn.LET(_xlpm.r,INDEX($U$2:$AD$31,MATCH(AH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3</v>
      </c>
      <c r="AI47" cm="1">
        <f t="array" ref="AI47">IF(AI$43="","",_xlfn.LET(_xlpm.r,INDEX($U$2:$AD$31,MATCH(AI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2</v>
      </c>
      <c r="AJ47" cm="1">
        <f t="array" ref="AJ47">IF(AJ$43="","",_xlfn.LET(_xlpm.r,INDEX($U$2:$AD$31,MATCH(AJ$34,$T$2:$T$31,0),0),_xlpm.mn,MIN(_xlpm.r),_xlpm.mx,MAX(_xlpm.r),_xlpm.w,(_xlpm.mx-_xlpm.mn)/5,_xlpm.b,$F47,IF(_xlpm.mx=_xlpm.mn,IF(_xlpm.b=0,COUNT(_xlpm.r),0),SUMPRODUCT((_xlpm.r&gt;=_xlpm.mn+_xlpm.b*_xlpm.w)*(_xlpm.r&lt;_xlpm.mn+(_xlpm.b+1)*_xlpm.w))+IF(_xlpm.b=4,SUMPRODUCT(--(_xlpm.r=_xlpm.mx)),0))))</f>
        <v>1</v>
      </c>
    </row>
    <row r="48" spans="1:36" x14ac:dyDescent="0.3">
      <c r="A48" t="str" cm="1">
        <f t="array" ref="A48">_xlfn.LET(_xlpm.n,ROWS(A$2:A48),_xlpm.block,QUOTIENT(_xlpm.n-1,10),_xlpm.conceptRow,6+_xlpm.block*11,IF(INDEX(Curation!$A:$A,_xlpm.conceptRow)="","",INDEX(Curation!$A:$A,_xlpm.conceptRow)))</f>
        <v>ceruza</v>
      </c>
      <c r="B48" t="s">
        <v>478</v>
      </c>
      <c r="C48" cm="1">
        <f t="array" ref="C48">_xlfn.LET(_xlpm.n,ROWS(C$2:C48),_xlpm.block,QUOTIENT(_xlpm.n-1,10),_xlpm.pos,MOD(_xlpm.n-1,10),_xlpm.conceptRow,6+_xlpm.block*11,_xlpm.srcRow,_xlpm.conceptRow+_xlpm.pos,IF(INDEX(Curation!$A:$A,_xlpm.conceptRow)="","",INDEX(Curation!$E:$E,_xlpm.srcRow)))</f>
        <v>2</v>
      </c>
      <c r="D48" cm="1">
        <f t="array" ref="D48">_xlfn.LET(_xlpm.n,ROWS(D$2:D48),_xlpm.block,QUOTIENT(_xlpm.n-1,10),_xlpm.pos,MOD(_xlpm.n-1,10),_xlpm.conceptRow,6+_xlpm.block*11,_xlpm.srcRow,_xlpm.conceptRow+_xlpm.pos,IF(INDEX(Curation!$A:$A,_xlpm.conceptRow)="","",INDEX(Curation!$F:$F,_xlpm.srcRow)))</f>
        <v>0.125</v>
      </c>
      <c r="F48">
        <v>4</v>
      </c>
      <c r="G48" cm="1">
        <f t="array" ref="G48">IF(G$43="","",_xlfn.LET(_xlpm.r,INDEX($U$2:$AD$31,MATCH(G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1</v>
      </c>
      <c r="H48" cm="1">
        <f t="array" ref="H48">IF(H$43="","",_xlfn.LET(_xlpm.r,INDEX($U$2:$AD$31,MATCH(H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2</v>
      </c>
      <c r="I48" cm="1">
        <f t="array" ref="I48">IF(I$43="","",_xlfn.LET(_xlpm.r,INDEX($U$2:$AD$31,MATCH(I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3</v>
      </c>
      <c r="J48" cm="1">
        <f t="array" ref="J48">IF(J$43="","",_xlfn.LET(_xlpm.r,INDEX($U$2:$AD$31,MATCH(J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1</v>
      </c>
      <c r="K48" cm="1">
        <f t="array" ref="K48">IF(K$43="","",_xlfn.LET(_xlpm.r,INDEX($U$2:$AD$31,MATCH(K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3</v>
      </c>
      <c r="L48" cm="1">
        <f t="array" ref="L48">IF(L$43="","",_xlfn.LET(_xlpm.r,INDEX($U$2:$AD$31,MATCH(L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3</v>
      </c>
      <c r="M48" cm="1">
        <f t="array" ref="M48">IF(M$43="","",_xlfn.LET(_xlpm.r,INDEX($U$2:$AD$31,MATCH(M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3</v>
      </c>
      <c r="N48" cm="1">
        <f t="array" ref="N48">IF(N$43="","",_xlfn.LET(_xlpm.r,INDEX($U$2:$AD$31,MATCH(N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3</v>
      </c>
      <c r="O48" cm="1">
        <f t="array" ref="O48">IF(O$43="","",_xlfn.LET(_xlpm.r,INDEX($U$2:$AD$31,MATCH(O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4</v>
      </c>
      <c r="P48" cm="1">
        <f t="array" ref="P48">IF(P$43="","",_xlfn.LET(_xlpm.r,INDEX($U$2:$AD$31,MATCH(P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1</v>
      </c>
      <c r="Q48" cm="1">
        <f t="array" ref="Q48">IF(Q$43="","",_xlfn.LET(_xlpm.r,INDEX($U$2:$AD$31,MATCH(Q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3</v>
      </c>
      <c r="R48" cm="1">
        <f t="array" ref="R48">IF(R$43="","",_xlfn.LET(_xlpm.r,INDEX($U$2:$AD$31,MATCH(R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3</v>
      </c>
      <c r="S48" cm="1">
        <f t="array" ref="S48">IF(S$43="","",_xlfn.LET(_xlpm.r,INDEX($U$2:$AD$31,MATCH(S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5</v>
      </c>
      <c r="T48" cm="1">
        <f t="array" ref="T48">IF(T$43="","",_xlfn.LET(_xlpm.r,INDEX($U$2:$AD$31,MATCH(T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5</v>
      </c>
      <c r="U48" cm="1">
        <f t="array" ref="U48">IF(U$43="","",_xlfn.LET(_xlpm.r,INDEX($U$2:$AD$31,MATCH(U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1</v>
      </c>
      <c r="V48" cm="1">
        <f t="array" ref="V48">IF(V$43="","",_xlfn.LET(_xlpm.r,INDEX($U$2:$AD$31,MATCH(V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1</v>
      </c>
      <c r="W48" cm="1">
        <f t="array" ref="W48">IF(W$43="","",_xlfn.LET(_xlpm.r,INDEX($U$2:$AD$31,MATCH(W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3</v>
      </c>
      <c r="X48" cm="1">
        <f t="array" ref="X48">IF(X$43="","",_xlfn.LET(_xlpm.r,INDEX($U$2:$AD$31,MATCH(X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4</v>
      </c>
      <c r="Y48" cm="1">
        <f t="array" ref="Y48">IF(Y$43="","",_xlfn.LET(_xlpm.r,INDEX($U$2:$AD$31,MATCH(Y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1</v>
      </c>
      <c r="Z48" cm="1">
        <f t="array" ref="Z48">IF(Z$43="","",_xlfn.LET(_xlpm.r,INDEX($U$2:$AD$31,MATCH(Z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4</v>
      </c>
      <c r="AA48" cm="1">
        <f t="array" ref="AA48">IF(AA$43="","",_xlfn.LET(_xlpm.r,INDEX($U$2:$AD$31,MATCH(AA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4</v>
      </c>
      <c r="AB48" cm="1">
        <f t="array" ref="AB48">IF(AB$43="","",_xlfn.LET(_xlpm.r,INDEX($U$2:$AD$31,MATCH(AB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2</v>
      </c>
      <c r="AC48" cm="1">
        <f t="array" ref="AC48">IF(AC$43="","",_xlfn.LET(_xlpm.r,INDEX($U$2:$AD$31,MATCH(AC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3</v>
      </c>
      <c r="AD48" cm="1">
        <f t="array" ref="AD48">IF(AD$43="","",_xlfn.LET(_xlpm.r,INDEX($U$2:$AD$31,MATCH(AD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4</v>
      </c>
      <c r="AE48" cm="1">
        <f t="array" ref="AE48">IF(AE$43="","",_xlfn.LET(_xlpm.r,INDEX($U$2:$AD$31,MATCH(AE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4</v>
      </c>
      <c r="AF48" cm="1">
        <f t="array" ref="AF48">IF(AF$43="","",_xlfn.LET(_xlpm.r,INDEX($U$2:$AD$31,MATCH(AF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1</v>
      </c>
      <c r="AG48" cm="1">
        <f t="array" ref="AG48">IF(AG$43="","",_xlfn.LET(_xlpm.r,INDEX($U$2:$AD$31,MATCH(AG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2</v>
      </c>
      <c r="AH48" cm="1">
        <f t="array" ref="AH48">IF(AH$43="","",_xlfn.LET(_xlpm.r,INDEX($U$2:$AD$31,MATCH(AH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2</v>
      </c>
      <c r="AI48" cm="1">
        <f t="array" ref="AI48">IF(AI$43="","",_xlfn.LET(_xlpm.r,INDEX($U$2:$AD$31,MATCH(AI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5</v>
      </c>
      <c r="AJ48" cm="1">
        <f t="array" ref="AJ48">IF(AJ$43="","",_xlfn.LET(_xlpm.r,INDEX($U$2:$AD$31,MATCH(AJ$34,$T$2:$T$31,0),0),_xlpm.mn,MIN(_xlpm.r),_xlpm.mx,MAX(_xlpm.r),_xlpm.w,(_xlpm.mx-_xlpm.mn)/5,_xlpm.b,$F48,IF(_xlpm.mx=_xlpm.mn,IF(_xlpm.b=0,COUNT(_xlpm.r),0),SUMPRODUCT((_xlpm.r&gt;=_xlpm.mn+_xlpm.b*_xlpm.w)*(_xlpm.r&lt;_xlpm.mn+(_xlpm.b+1)*_xlpm.w))+IF(_xlpm.b=4,SUMPRODUCT(--(_xlpm.r=_xlpm.mx)),0))))</f>
        <v>4</v>
      </c>
    </row>
    <row r="49" spans="1:4" x14ac:dyDescent="0.3">
      <c r="A49" t="str" cm="1">
        <f t="array" ref="A49">_xlfn.LET(_xlpm.n,ROWS(A$2:A49),_xlpm.block,QUOTIENT(_xlpm.n-1,10),_xlpm.conceptRow,6+_xlpm.block*11,IF(INDEX(Curation!$A:$A,_xlpm.conceptRow)="","",INDEX(Curation!$A:$A,_xlpm.conceptRow)))</f>
        <v>ceruza</v>
      </c>
      <c r="B49" t="s">
        <v>479</v>
      </c>
      <c r="C49" cm="1">
        <f t="array" ref="C49">_xlfn.LET(_xlpm.n,ROWS(C$2:C49),_xlpm.block,QUOTIENT(_xlpm.n-1,10),_xlpm.pos,MOD(_xlpm.n-1,10),_xlpm.conceptRow,6+_xlpm.block*11,_xlpm.srcRow,_xlpm.conceptRow+_xlpm.pos,IF(INDEX(Curation!$A:$A,_xlpm.conceptRow)="","",INDEX(Curation!$E:$E,_xlpm.srcRow)))</f>
        <v>4</v>
      </c>
      <c r="D49" cm="1">
        <f t="array" ref="D49">_xlfn.LET(_xlpm.n,ROWS(D$2:D49),_xlpm.block,QUOTIENT(_xlpm.n-1,10),_xlpm.pos,MOD(_xlpm.n-1,10),_xlpm.conceptRow,6+_xlpm.block*11,_xlpm.srcRow,_xlpm.conceptRow+_xlpm.pos,IF(INDEX(Curation!$A:$A,_xlpm.conceptRow)="","",INDEX(Curation!$F:$F,_xlpm.srcRow)))</f>
        <v>0.14299999999999999</v>
      </c>
    </row>
    <row r="50" spans="1:4" x14ac:dyDescent="0.3">
      <c r="A50" t="str" cm="1">
        <f t="array" ref="A50">_xlfn.LET(_xlpm.n,ROWS(A$2:A50),_xlpm.block,QUOTIENT(_xlpm.n-1,10),_xlpm.conceptRow,6+_xlpm.block*11,IF(INDEX(Curation!$A:$A,_xlpm.conceptRow)="","",INDEX(Curation!$A:$A,_xlpm.conceptRow)))</f>
        <v>ceruza</v>
      </c>
      <c r="B50" t="s">
        <v>480</v>
      </c>
      <c r="C50" cm="1">
        <f t="array" ref="C50">_xlfn.LET(_xlpm.n,ROWS(C$2:C50),_xlpm.block,QUOTIENT(_xlpm.n-1,10),_xlpm.pos,MOD(_xlpm.n-1,10),_xlpm.conceptRow,6+_xlpm.block*11,_xlpm.srcRow,_xlpm.conceptRow+_xlpm.pos,IF(INDEX(Curation!$A:$A,_xlpm.conceptRow)="","",INDEX(Curation!$E:$E,_xlpm.srcRow)))</f>
        <v>14</v>
      </c>
      <c r="D50" cm="1">
        <f t="array" ref="D50">_xlfn.LET(_xlpm.n,ROWS(D$2:D50),_xlpm.block,QUOTIENT(_xlpm.n-1,10),_xlpm.pos,MOD(_xlpm.n-1,10),_xlpm.conceptRow,6+_xlpm.block*11,_xlpm.srcRow,_xlpm.conceptRow+_xlpm.pos,IF(INDEX(Curation!$A:$A,_xlpm.conceptRow)="","",INDEX(Curation!$F:$F,_xlpm.srcRow)))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51" spans="1:4" x14ac:dyDescent="0.3">
      <c r="A51" t="str" cm="1">
        <f t="array" ref="A51">_xlfn.LET(_xlpm.n,ROWS(A$2:A51),_xlpm.block,QUOTIENT(_xlpm.n-1,10),_xlpm.conceptRow,6+_xlpm.block*11,IF(INDEX(Curation!$A:$A,_xlpm.conceptRow)="","",INDEX(Curation!$A:$A,_xlpm.conceptRow)))</f>
        <v>ceruza</v>
      </c>
      <c r="B51" t="s">
        <v>481</v>
      </c>
      <c r="C51" cm="1">
        <f t="array" ref="C51">_xlfn.LET(_xlpm.n,ROWS(C$2:C51),_xlpm.block,QUOTIENT(_xlpm.n-1,10),_xlpm.pos,MOD(_xlpm.n-1,10),_xlpm.conceptRow,6+_xlpm.block*11,_xlpm.srcRow,_xlpm.conceptRow+_xlpm.pos,IF(INDEX(Curation!$A:$A,_xlpm.conceptRow)="","",INDEX(Curation!$E:$E,_xlpm.srcRow)))</f>
        <v>2</v>
      </c>
      <c r="D51" cm="1">
        <f t="array" ref="D51">_xlfn.LET(_xlpm.n,ROWS(D$2:D51),_xlpm.block,QUOTIENT(_xlpm.n-1,10),_xlpm.pos,MOD(_xlpm.n-1,10),_xlpm.conceptRow,6+_xlpm.block*11,_xlpm.srcRow,_xlpm.conceptRow+_xlpm.pos,IF(INDEX(Curation!$A:$A,_xlpm.conceptRow)="","",INDEX(Curation!$F:$F,_xlpm.srcRow)))</f>
        <v>0.1</v>
      </c>
    </row>
    <row r="52" spans="1:4" x14ac:dyDescent="0.3">
      <c r="A52" t="str" cm="1">
        <f t="array" ref="A52">_xlfn.LET(_xlpm.n,ROWS(A$2:A52),_xlpm.block,QUOTIENT(_xlpm.n-1,10),_xlpm.conceptRow,6+_xlpm.block*11,IF(INDEX(Curation!$A:$A,_xlpm.conceptRow)="","",INDEX(Curation!$A:$A,_xlpm.conceptRow)))</f>
        <v>cipő</v>
      </c>
      <c r="B52" t="s">
        <v>472</v>
      </c>
      <c r="C52" cm="1">
        <f t="array" ref="C52">_xlfn.LET(_xlpm.n,ROWS(C$2:C52),_xlpm.block,QUOTIENT(_xlpm.n-1,10),_xlpm.pos,MOD(_xlpm.n-1,10),_xlpm.conceptRow,6+_xlpm.block*11,_xlpm.srcRow,_xlpm.conceptRow+_xlpm.pos,IF(INDEX(Curation!$A:$A,_xlpm.conceptRow)="","",INDEX(Curation!$E:$E,_xlpm.srcRow)))</f>
        <v>15</v>
      </c>
      <c r="D52" cm="1">
        <f t="array" ref="D52">_xlfn.LET(_xlpm.n,ROWS(D$2:D52),_xlpm.block,QUOTIENT(_xlpm.n-1,10),_xlpm.pos,MOD(_xlpm.n-1,10),_xlpm.conceptRow,6+_xlpm.block*11,_xlpm.srcRow,_xlpm.conceptRow+_xlpm.pos,IF(INDEX(Curation!$A:$A,_xlpm.conceptRow)="","",INDEX(Curation!$F:$F,_xlpm.srcRow)))</f>
        <v>0.14299999999999999</v>
      </c>
    </row>
    <row r="53" spans="1:4" x14ac:dyDescent="0.3">
      <c r="A53" t="str" cm="1">
        <f t="array" ref="A53">_xlfn.LET(_xlpm.n,ROWS(A$2:A53),_xlpm.block,QUOTIENT(_xlpm.n-1,10),_xlpm.conceptRow,6+_xlpm.block*11,IF(INDEX(Curation!$A:$A,_xlpm.conceptRow)="","",INDEX(Curation!$A:$A,_xlpm.conceptRow)))</f>
        <v>cipő</v>
      </c>
      <c r="B53" t="s">
        <v>473</v>
      </c>
      <c r="C53" cm="1">
        <f t="array" ref="C53">_xlfn.LET(_xlpm.n,ROWS(C$2:C53),_xlpm.block,QUOTIENT(_xlpm.n-1,10),_xlpm.pos,MOD(_xlpm.n-1,10),_xlpm.conceptRow,6+_xlpm.block*11,_xlpm.srcRow,_xlpm.conceptRow+_xlpm.pos,IF(INDEX(Curation!$A:$A,_xlpm.conceptRow)="","",INDEX(Curation!$E:$E,_xlpm.srcRow)))</f>
        <v>3</v>
      </c>
      <c r="D53" cm="1">
        <f t="array" ref="D53">_xlfn.LET(_xlpm.n,ROWS(D$2:D53),_xlpm.block,QUOTIENT(_xlpm.n-1,10),_xlpm.pos,MOD(_xlpm.n-1,10),_xlpm.conceptRow,6+_xlpm.block*11,_xlpm.srcRow,_xlpm.conceptRow+_xlpm.pos,IF(INDEX(Curation!$A:$A,_xlpm.conceptRow)="","",INDEX(Curation!$F:$F,_xlpm.srcRow)))</f>
        <v>0.125</v>
      </c>
    </row>
    <row r="54" spans="1:4" x14ac:dyDescent="0.3">
      <c r="A54" t="str" cm="1">
        <f t="array" ref="A54">_xlfn.LET(_xlpm.n,ROWS(A$2:A54),_xlpm.block,QUOTIENT(_xlpm.n-1,10),_xlpm.conceptRow,6+_xlpm.block*11,IF(INDEX(Curation!$A:$A,_xlpm.conceptRow)="","",INDEX(Curation!$A:$A,_xlpm.conceptRow)))</f>
        <v>cipő</v>
      </c>
      <c r="B54" t="s">
        <v>474</v>
      </c>
      <c r="C54" cm="1">
        <f t="array" ref="C54">_xlfn.LET(_xlpm.n,ROWS(C$2:C54),_xlpm.block,QUOTIENT(_xlpm.n-1,10),_xlpm.pos,MOD(_xlpm.n-1,10),_xlpm.conceptRow,6+_xlpm.block*11,_xlpm.srcRow,_xlpm.conceptRow+_xlpm.pos,IF(INDEX(Curation!$A:$A,_xlpm.conceptRow)="","",INDEX(Curation!$E:$E,_xlpm.srcRow)))</f>
        <v>5</v>
      </c>
      <c r="D54" cm="1">
        <f t="array" ref="D54">_xlfn.LET(_xlpm.n,ROWS(D$2:D54),_xlpm.block,QUOTIENT(_xlpm.n-1,10),_xlpm.pos,MOD(_xlpm.n-1,10),_xlpm.conceptRow,6+_xlpm.block*11,_xlpm.srcRow,_xlpm.conceptRow+_xlpm.pos,IF(INDEX(Curation!$A:$A,_xlpm.conceptRow)="","",INDEX(Curation!$F:$F,_xlpm.srcRow)))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55" spans="1:4" x14ac:dyDescent="0.3">
      <c r="A55" t="str" cm="1">
        <f t="array" ref="A55">_xlfn.LET(_xlpm.n,ROWS(A$2:A55),_xlpm.block,QUOTIENT(_xlpm.n-1,10),_xlpm.conceptRow,6+_xlpm.block*11,IF(INDEX(Curation!$A:$A,_xlpm.conceptRow)="","",INDEX(Curation!$A:$A,_xlpm.conceptRow)))</f>
        <v>cipő</v>
      </c>
      <c r="B55" t="s">
        <v>475</v>
      </c>
      <c r="C55" cm="1">
        <f t="array" ref="C55">_xlfn.LET(_xlpm.n,ROWS(C$2:C55),_xlpm.block,QUOTIENT(_xlpm.n-1,10),_xlpm.pos,MOD(_xlpm.n-1,10),_xlpm.conceptRow,6+_xlpm.block*11,_xlpm.srcRow,_xlpm.conceptRow+_xlpm.pos,IF(INDEX(Curation!$A:$A,_xlpm.conceptRow)="","",INDEX(Curation!$E:$E,_xlpm.srcRow)))</f>
        <v>4</v>
      </c>
      <c r="D55" cm="1">
        <f t="array" ref="D55">_xlfn.LET(_xlpm.n,ROWS(D$2:D55),_xlpm.block,QUOTIENT(_xlpm.n-1,10),_xlpm.pos,MOD(_xlpm.n-1,10),_xlpm.conceptRow,6+_xlpm.block*11,_xlpm.srcRow,_xlpm.conceptRow+_xlpm.pos,IF(INDEX(Curation!$A:$A,_xlpm.conceptRow)="","",INDEX(Curation!$F:$F,_xlpm.srcRow)))</f>
        <v>0.16700000000000001</v>
      </c>
    </row>
    <row r="56" spans="1:4" x14ac:dyDescent="0.3">
      <c r="A56" t="str" cm="1">
        <f t="array" ref="A56">_xlfn.LET(_xlpm.n,ROWS(A$2:A56),_xlpm.block,QUOTIENT(_xlpm.n-1,10),_xlpm.conceptRow,6+_xlpm.block*11,IF(INDEX(Curation!$A:$A,_xlpm.conceptRow)="","",INDEX(Curation!$A:$A,_xlpm.conceptRow)))</f>
        <v>cipő</v>
      </c>
      <c r="B56" t="s">
        <v>476</v>
      </c>
      <c r="C56" cm="1">
        <f t="array" ref="C56">_xlfn.LET(_xlpm.n,ROWS(C$2:C56),_xlpm.block,QUOTIENT(_xlpm.n-1,10),_xlpm.pos,MOD(_xlpm.n-1,10),_xlpm.conceptRow,6+_xlpm.block*11,_xlpm.srcRow,_xlpm.conceptRow+_xlpm.pos,IF(INDEX(Curation!$A:$A,_xlpm.conceptRow)="","",INDEX(Curation!$E:$E,_xlpm.srcRow)))</f>
        <v>1</v>
      </c>
      <c r="D56" cm="1">
        <f t="array" ref="D56">_xlfn.LET(_xlpm.n,ROWS(D$2:D56),_xlpm.block,QUOTIENT(_xlpm.n-1,10),_xlpm.pos,MOD(_xlpm.n-1,10),_xlpm.conceptRow,6+_xlpm.block*11,_xlpm.srcRow,_xlpm.conceptRow+_xlpm.pos,IF(INDEX(Curation!$A:$A,_xlpm.conceptRow)="","",INDEX(Curation!$F:$F,_xlpm.srcRow)))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57" spans="1:4" x14ac:dyDescent="0.3">
      <c r="A57" t="str" cm="1">
        <f t="array" ref="A57">_xlfn.LET(_xlpm.n,ROWS(A$2:A57),_xlpm.block,QUOTIENT(_xlpm.n-1,10),_xlpm.conceptRow,6+_xlpm.block*11,IF(INDEX(Curation!$A:$A,_xlpm.conceptRow)="","",INDEX(Curation!$A:$A,_xlpm.conceptRow)))</f>
        <v>cipő</v>
      </c>
      <c r="B57" t="s">
        <v>477</v>
      </c>
      <c r="C57" cm="1">
        <f t="array" ref="C57">_xlfn.LET(_xlpm.n,ROWS(C$2:C57),_xlpm.block,QUOTIENT(_xlpm.n-1,10),_xlpm.pos,MOD(_xlpm.n-1,10),_xlpm.conceptRow,6+_xlpm.block*11,_xlpm.srcRow,_xlpm.conceptRow+_xlpm.pos,IF(INDEX(Curation!$A:$A,_xlpm.conceptRow)="","",INDEX(Curation!$E:$E,_xlpm.srcRow)))</f>
        <v>2</v>
      </c>
      <c r="D57" cm="1">
        <f t="array" ref="D57">_xlfn.LET(_xlpm.n,ROWS(D$2:D57),_xlpm.block,QUOTIENT(_xlpm.n-1,10),_xlpm.pos,MOD(_xlpm.n-1,10),_xlpm.conceptRow,6+_xlpm.block*11,_xlpm.srcRow,_xlpm.conceptRow+_xlpm.pos,IF(INDEX(Curation!$A:$A,_xlpm.conceptRow)="","",INDEX(Curation!$F:$F,_xlpm.srcRow)))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58" spans="1:4" x14ac:dyDescent="0.3">
      <c r="A58" t="str" cm="1">
        <f t="array" ref="A58">_xlfn.LET(_xlpm.n,ROWS(A$2:A58),_xlpm.block,QUOTIENT(_xlpm.n-1,10),_xlpm.conceptRow,6+_xlpm.block*11,IF(INDEX(Curation!$A:$A,_xlpm.conceptRow)="","",INDEX(Curation!$A:$A,_xlpm.conceptRow)))</f>
        <v>cipő</v>
      </c>
      <c r="B58" t="s">
        <v>478</v>
      </c>
      <c r="C58" cm="1">
        <f t="array" ref="C58">_xlfn.LET(_xlpm.n,ROWS(C$2:C58),_xlpm.block,QUOTIENT(_xlpm.n-1,10),_xlpm.pos,MOD(_xlpm.n-1,10),_xlpm.conceptRow,6+_xlpm.block*11,_xlpm.srcRow,_xlpm.conceptRow+_xlpm.pos,IF(INDEX(Curation!$A:$A,_xlpm.conceptRow)="","",INDEX(Curation!$E:$E,_xlpm.srcRow)))</f>
        <v>4</v>
      </c>
      <c r="D58" cm="1">
        <f t="array" ref="D58">_xlfn.LET(_xlpm.n,ROWS(D$2:D58),_xlpm.block,QUOTIENT(_xlpm.n-1,10),_xlpm.pos,MOD(_xlpm.n-1,10),_xlpm.conceptRow,6+_xlpm.block*11,_xlpm.srcRow,_xlpm.conceptRow+_xlpm.pos,IF(INDEX(Curation!$A:$A,_xlpm.conceptRow)="","",INDEX(Curation!$F:$F,_xlpm.srcRow)))</f>
        <v>0.111</v>
      </c>
    </row>
    <row r="59" spans="1:4" x14ac:dyDescent="0.3">
      <c r="A59" t="str" cm="1">
        <f t="array" ref="A59">_xlfn.LET(_xlpm.n,ROWS(A$2:A59),_xlpm.block,QUOTIENT(_xlpm.n-1,10),_xlpm.conceptRow,6+_xlpm.block*11,IF(INDEX(Curation!$A:$A,_xlpm.conceptRow)="","",INDEX(Curation!$A:$A,_xlpm.conceptRow)))</f>
        <v>cipő</v>
      </c>
      <c r="B59" t="s">
        <v>479</v>
      </c>
      <c r="C59" cm="1">
        <f t="array" ref="C59">_xlfn.LET(_xlpm.n,ROWS(C$2:C59),_xlpm.block,QUOTIENT(_xlpm.n-1,10),_xlpm.pos,MOD(_xlpm.n-1,10),_xlpm.conceptRow,6+_xlpm.block*11,_xlpm.srcRow,_xlpm.conceptRow+_xlpm.pos,IF(INDEX(Curation!$A:$A,_xlpm.conceptRow)="","",INDEX(Curation!$E:$E,_xlpm.srcRow)))</f>
        <v>1</v>
      </c>
      <c r="D59" cm="1">
        <f t="array" ref="D59">_xlfn.LET(_xlpm.n,ROWS(D$2:D59),_xlpm.block,QUOTIENT(_xlpm.n-1,10),_xlpm.pos,MOD(_xlpm.n-1,10),_xlpm.conceptRow,6+_xlpm.block*11,_xlpm.srcRow,_xlpm.conceptRow+_xlpm.pos,IF(INDEX(Curation!$A:$A,_xlpm.conceptRow)="","",INDEX(Curation!$F:$F,_xlpm.srcRow)))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60" spans="1:4" x14ac:dyDescent="0.3">
      <c r="A60" t="str" cm="1">
        <f t="array" ref="A60">_xlfn.LET(_xlpm.n,ROWS(A$2:A60),_xlpm.block,QUOTIENT(_xlpm.n-1,10),_xlpm.conceptRow,6+_xlpm.block*11,IF(INDEX(Curation!$A:$A,_xlpm.conceptRow)="","",INDEX(Curation!$A:$A,_xlpm.conceptRow)))</f>
        <v>cipő</v>
      </c>
      <c r="B60" t="s">
        <v>480</v>
      </c>
      <c r="C60" cm="1">
        <f t="array" ref="C60">_xlfn.LET(_xlpm.n,ROWS(C$2:C60),_xlpm.block,QUOTIENT(_xlpm.n-1,10),_xlpm.pos,MOD(_xlpm.n-1,10),_xlpm.conceptRow,6+_xlpm.block*11,_xlpm.srcRow,_xlpm.conceptRow+_xlpm.pos,IF(INDEX(Curation!$A:$A,_xlpm.conceptRow)="","",INDEX(Curation!$E:$E,_xlpm.srcRow)))</f>
        <v>5</v>
      </c>
      <c r="D60" cm="1">
        <f t="array" ref="D60">_xlfn.LET(_xlpm.n,ROWS(D$2:D60),_xlpm.block,QUOTIENT(_xlpm.n-1,10),_xlpm.pos,MOD(_xlpm.n-1,10),_xlpm.conceptRow,6+_xlpm.block*11,_xlpm.srcRow,_xlpm.conceptRow+_xlpm.pos,IF(INDEX(Curation!$A:$A,_xlpm.conceptRow)="","",INDEX(Curation!$F:$F,_xlpm.srcRow)))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61" spans="1:4" x14ac:dyDescent="0.3">
      <c r="A61" t="str" cm="1">
        <f t="array" ref="A61">_xlfn.LET(_xlpm.n,ROWS(A$2:A61),_xlpm.block,QUOTIENT(_xlpm.n-1,10),_xlpm.conceptRow,6+_xlpm.block*11,IF(INDEX(Curation!$A:$A,_xlpm.conceptRow)="","",INDEX(Curation!$A:$A,_xlpm.conceptRow)))</f>
        <v>cipő</v>
      </c>
      <c r="B61" t="s">
        <v>481</v>
      </c>
      <c r="C61" cm="1">
        <f t="array" ref="C61">_xlfn.LET(_xlpm.n,ROWS(C$2:C61),_xlpm.block,QUOTIENT(_xlpm.n-1,10),_xlpm.pos,MOD(_xlpm.n-1,10),_xlpm.conceptRow,6+_xlpm.block*11,_xlpm.srcRow,_xlpm.conceptRow+_xlpm.pos,IF(INDEX(Curation!$A:$A,_xlpm.conceptRow)="","",INDEX(Curation!$E:$E,_xlpm.srcRow)))</f>
        <v>14</v>
      </c>
      <c r="D61" cm="1">
        <f t="array" ref="D61">_xlfn.LET(_xlpm.n,ROWS(D$2:D61),_xlpm.block,QUOTIENT(_xlpm.n-1,10),_xlpm.pos,MOD(_xlpm.n-1,10),_xlpm.conceptRow,6+_xlpm.block*11,_xlpm.srcRow,_xlpm.conceptRow+_xlpm.pos,IF(INDEX(Curation!$A:$A,_xlpm.conceptRow)="","",INDEX(Curation!$F:$F,_xlpm.srcRow)))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62" spans="1:4" x14ac:dyDescent="0.3">
      <c r="A62" t="str" cm="1">
        <f t="array" ref="A62">_xlfn.LET(_xlpm.n,ROWS(A$2:A62),_xlpm.block,QUOTIENT(_xlpm.n-1,10),_xlpm.conceptRow,6+_xlpm.block*11,IF(INDEX(Curation!$A:$A,_xlpm.conceptRow)="","",INDEX(Curation!$A:$A,_xlpm.conceptRow)))</f>
        <v>citrom</v>
      </c>
      <c r="B62" t="s">
        <v>472</v>
      </c>
      <c r="C62" cm="1">
        <f t="array" ref="C62">_xlfn.LET(_xlpm.n,ROWS(C$2:C62),_xlpm.block,QUOTIENT(_xlpm.n-1,10),_xlpm.pos,MOD(_xlpm.n-1,10),_xlpm.conceptRow,6+_xlpm.block*11,_xlpm.srcRow,_xlpm.conceptRow+_xlpm.pos,IF(INDEX(Curation!$A:$A,_xlpm.conceptRow)="","",INDEX(Curation!$E:$E,_xlpm.srcRow)))</f>
        <v>16</v>
      </c>
      <c r="D62" cm="1">
        <f t="array" ref="D62">_xlfn.LET(_xlpm.n,ROWS(D$2:D62),_xlpm.block,QUOTIENT(_xlpm.n-1,10),_xlpm.pos,MOD(_xlpm.n-1,10),_xlpm.conceptRow,6+_xlpm.block*11,_xlpm.srcRow,_xlpm.conceptRow+_xlpm.pos,IF(INDEX(Curation!$A:$A,_xlpm.conceptRow)="","",INDEX(Curation!$F:$F,_xlpm.srcRow)))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63" spans="1:4" x14ac:dyDescent="0.3">
      <c r="A63" t="str" cm="1">
        <f t="array" ref="A63">_xlfn.LET(_xlpm.n,ROWS(A$2:A63),_xlpm.block,QUOTIENT(_xlpm.n-1,10),_xlpm.conceptRow,6+_xlpm.block*11,IF(INDEX(Curation!$A:$A,_xlpm.conceptRow)="","",INDEX(Curation!$A:$A,_xlpm.conceptRow)))</f>
        <v>citrom</v>
      </c>
      <c r="B63" t="s">
        <v>473</v>
      </c>
      <c r="C63" cm="1">
        <f t="array" ref="C63">_xlfn.LET(_xlpm.n,ROWS(C$2:C63),_xlpm.block,QUOTIENT(_xlpm.n-1,10),_xlpm.pos,MOD(_xlpm.n-1,10),_xlpm.conceptRow,6+_xlpm.block*11,_xlpm.srcRow,_xlpm.conceptRow+_xlpm.pos,IF(INDEX(Curation!$A:$A,_xlpm.conceptRow)="","",INDEX(Curation!$E:$E,_xlpm.srcRow)))</f>
        <v>7</v>
      </c>
      <c r="D63" cm="1">
        <f t="array" ref="D63">_xlfn.LET(_xlpm.n,ROWS(D$2:D63),_xlpm.block,QUOTIENT(_xlpm.n-1,10),_xlpm.pos,MOD(_xlpm.n-1,10),_xlpm.conceptRow,6+_xlpm.block*11,_xlpm.srcRow,_xlpm.conceptRow+_xlpm.pos,IF(INDEX(Curation!$A:$A,_xlpm.conceptRow)="","",INDEX(Curation!$F:$F,_xlpm.srcRow)))</f>
        <v>0.125</v>
      </c>
    </row>
    <row r="64" spans="1:4" x14ac:dyDescent="0.3">
      <c r="A64" t="str" cm="1">
        <f t="array" ref="A64">_xlfn.LET(_xlpm.n,ROWS(A$2:A64),_xlpm.block,QUOTIENT(_xlpm.n-1,10),_xlpm.conceptRow,6+_xlpm.block*11,IF(INDEX(Curation!$A:$A,_xlpm.conceptRow)="","",INDEX(Curation!$A:$A,_xlpm.conceptRow)))</f>
        <v>citrom</v>
      </c>
      <c r="B64" t="s">
        <v>474</v>
      </c>
      <c r="C64" cm="1">
        <f t="array" ref="C64">_xlfn.LET(_xlpm.n,ROWS(C$2:C64),_xlpm.block,QUOTIENT(_xlpm.n-1,10),_xlpm.pos,MOD(_xlpm.n-1,10),_xlpm.conceptRow,6+_xlpm.block*11,_xlpm.srcRow,_xlpm.conceptRow+_xlpm.pos,IF(INDEX(Curation!$A:$A,_xlpm.conceptRow)="","",INDEX(Curation!$E:$E,_xlpm.srcRow)))</f>
        <v>16</v>
      </c>
      <c r="D64" cm="1">
        <f t="array" ref="D64">_xlfn.LET(_xlpm.n,ROWS(D$2:D64),_xlpm.block,QUOTIENT(_xlpm.n-1,10),_xlpm.pos,MOD(_xlpm.n-1,10),_xlpm.conceptRow,6+_xlpm.block*11,_xlpm.srcRow,_xlpm.conceptRow+_xlpm.pos,IF(INDEX(Curation!$A:$A,_xlpm.conceptRow)="","",INDEX(Curation!$F:$F,_xlpm.srcRow)))</f>
        <v>0.16700000000000001</v>
      </c>
    </row>
    <row r="65" spans="1:4" x14ac:dyDescent="0.3">
      <c r="A65" t="str" cm="1">
        <f t="array" ref="A65">_xlfn.LET(_xlpm.n,ROWS(A$2:A65),_xlpm.block,QUOTIENT(_xlpm.n-1,10),_xlpm.conceptRow,6+_xlpm.block*11,IF(INDEX(Curation!$A:$A,_xlpm.conceptRow)="","",INDEX(Curation!$A:$A,_xlpm.conceptRow)))</f>
        <v>citrom</v>
      </c>
      <c r="B65" t="s">
        <v>475</v>
      </c>
      <c r="C65" cm="1">
        <f t="array" ref="C65">_xlfn.LET(_xlpm.n,ROWS(C$2:C65),_xlpm.block,QUOTIENT(_xlpm.n-1,10),_xlpm.pos,MOD(_xlpm.n-1,10),_xlpm.conceptRow,6+_xlpm.block*11,_xlpm.srcRow,_xlpm.conceptRow+_xlpm.pos,IF(INDEX(Curation!$A:$A,_xlpm.conceptRow)="","",INDEX(Curation!$E:$E,_xlpm.srcRow)))</f>
        <v>17</v>
      </c>
      <c r="D65" cm="1">
        <f t="array" ref="D65">_xlfn.LET(_xlpm.n,ROWS(D$2:D65),_xlpm.block,QUOTIENT(_xlpm.n-1,10),_xlpm.pos,MOD(_xlpm.n-1,10),_xlpm.conceptRow,6+_xlpm.block*11,_xlpm.srcRow,_xlpm.conceptRow+_xlpm.pos,IF(INDEX(Curation!$A:$A,_xlpm.conceptRow)="","",INDEX(Curation!$F:$F,_xlpm.srcRow)))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66" spans="1:4" x14ac:dyDescent="0.3">
      <c r="A66" t="str" cm="1">
        <f t="array" ref="A66">_xlfn.LET(_xlpm.n,ROWS(A$2:A66),_xlpm.block,QUOTIENT(_xlpm.n-1,10),_xlpm.conceptRow,6+_xlpm.block*11,IF(INDEX(Curation!$A:$A,_xlpm.conceptRow)="","",INDEX(Curation!$A:$A,_xlpm.conceptRow)))</f>
        <v>citrom</v>
      </c>
      <c r="B66" t="s">
        <v>476</v>
      </c>
      <c r="C66" cm="1">
        <f t="array" ref="C66">_xlfn.LET(_xlpm.n,ROWS(C$2:C66),_xlpm.block,QUOTIENT(_xlpm.n-1,10),_xlpm.pos,MOD(_xlpm.n-1,10),_xlpm.conceptRow,6+_xlpm.block*11,_xlpm.srcRow,_xlpm.conceptRow+_xlpm.pos,IF(INDEX(Curation!$A:$A,_xlpm.conceptRow)="","",INDEX(Curation!$E:$E,_xlpm.srcRow)))</f>
        <v>5</v>
      </c>
      <c r="D66" cm="1">
        <f t="array" ref="D66">_xlfn.LET(_xlpm.n,ROWS(D$2:D66),_xlpm.block,QUOTIENT(_xlpm.n-1,10),_xlpm.pos,MOD(_xlpm.n-1,10),_xlpm.conceptRow,6+_xlpm.block*11,_xlpm.srcRow,_xlpm.conceptRow+_xlpm.pos,IF(INDEX(Curation!$A:$A,_xlpm.conceptRow)="","",INDEX(Curation!$F:$F,_xlpm.srcRow)))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67" spans="1:4" x14ac:dyDescent="0.3">
      <c r="A67" t="str" cm="1">
        <f t="array" ref="A67">_xlfn.LET(_xlpm.n,ROWS(A$2:A67),_xlpm.block,QUOTIENT(_xlpm.n-1,10),_xlpm.conceptRow,6+_xlpm.block*11,IF(INDEX(Curation!$A:$A,_xlpm.conceptRow)="","",INDEX(Curation!$A:$A,_xlpm.conceptRow)))</f>
        <v>citrom</v>
      </c>
      <c r="B67" t="s">
        <v>477</v>
      </c>
      <c r="C67" cm="1">
        <f t="array" ref="C67">_xlfn.LET(_xlpm.n,ROWS(C$2:C67),_xlpm.block,QUOTIENT(_xlpm.n-1,10),_xlpm.pos,MOD(_xlpm.n-1,10),_xlpm.conceptRow,6+_xlpm.block*11,_xlpm.srcRow,_xlpm.conceptRow+_xlpm.pos,IF(INDEX(Curation!$A:$A,_xlpm.conceptRow)="","",INDEX(Curation!$E:$E,_xlpm.srcRow)))</f>
        <v>2</v>
      </c>
      <c r="D67" cm="1">
        <f t="array" ref="D67">_xlfn.LET(_xlpm.n,ROWS(D$2:D67),_xlpm.block,QUOTIENT(_xlpm.n-1,10),_xlpm.pos,MOD(_xlpm.n-1,10),_xlpm.conceptRow,6+_xlpm.block*11,_xlpm.srcRow,_xlpm.conceptRow+_xlpm.pos,IF(INDEX(Curation!$A:$A,_xlpm.conceptRow)="","",INDEX(Curation!$F:$F,_xlpm.srcRow)))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68" spans="1:4" x14ac:dyDescent="0.3">
      <c r="A68" t="str" cm="1">
        <f t="array" ref="A68">_xlfn.LET(_xlpm.n,ROWS(A$2:A68),_xlpm.block,QUOTIENT(_xlpm.n-1,10),_xlpm.conceptRow,6+_xlpm.block*11,IF(INDEX(Curation!$A:$A,_xlpm.conceptRow)="","",INDEX(Curation!$A:$A,_xlpm.conceptRow)))</f>
        <v>citrom</v>
      </c>
      <c r="B68" t="s">
        <v>478</v>
      </c>
      <c r="C68" cm="1">
        <f t="array" ref="C68">_xlfn.LET(_xlpm.n,ROWS(C$2:C68),_xlpm.block,QUOTIENT(_xlpm.n-1,10),_xlpm.pos,MOD(_xlpm.n-1,10),_xlpm.conceptRow,6+_xlpm.block*11,_xlpm.srcRow,_xlpm.conceptRow+_xlpm.pos,IF(INDEX(Curation!$A:$A,_xlpm.conceptRow)="","",INDEX(Curation!$E:$E,_xlpm.srcRow)))</f>
        <v>2</v>
      </c>
      <c r="D68" cm="1">
        <f t="array" ref="D68">_xlfn.LET(_xlpm.n,ROWS(D$2:D68),_xlpm.block,QUOTIENT(_xlpm.n-1,10),_xlpm.pos,MOD(_xlpm.n-1,10),_xlpm.conceptRow,6+_xlpm.block*11,_xlpm.srcRow,_xlpm.conceptRow+_xlpm.pos,IF(INDEX(Curation!$A:$A,_xlpm.conceptRow)="","",INDEX(Curation!$F:$F,_xlpm.srcRow)))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69" spans="1:4" x14ac:dyDescent="0.3">
      <c r="A69" t="str" cm="1">
        <f t="array" ref="A69">_xlfn.LET(_xlpm.n,ROWS(A$2:A69),_xlpm.block,QUOTIENT(_xlpm.n-1,10),_xlpm.conceptRow,6+_xlpm.block*11,IF(INDEX(Curation!$A:$A,_xlpm.conceptRow)="","",INDEX(Curation!$A:$A,_xlpm.conceptRow)))</f>
        <v>citrom</v>
      </c>
      <c r="B69" t="s">
        <v>479</v>
      </c>
      <c r="C69" cm="1">
        <f t="array" ref="C69">_xlfn.LET(_xlpm.n,ROWS(C$2:C69),_xlpm.block,QUOTIENT(_xlpm.n-1,10),_xlpm.pos,MOD(_xlpm.n-1,10),_xlpm.conceptRow,6+_xlpm.block*11,_xlpm.srcRow,_xlpm.conceptRow+_xlpm.pos,IF(INDEX(Curation!$A:$A,_xlpm.conceptRow)="","",INDEX(Curation!$E:$E,_xlpm.srcRow)))</f>
        <v>3</v>
      </c>
      <c r="D69" cm="1">
        <f t="array" ref="D69">_xlfn.LET(_xlpm.n,ROWS(D$2:D69),_xlpm.block,QUOTIENT(_xlpm.n-1,10),_xlpm.pos,MOD(_xlpm.n-1,10),_xlpm.conceptRow,6+_xlpm.block*11,_xlpm.srcRow,_xlpm.conceptRow+_xlpm.pos,IF(INDEX(Curation!$A:$A,_xlpm.conceptRow)="","",INDEX(Curation!$F:$F,_xlpm.srcRow)))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70" spans="1:4" x14ac:dyDescent="0.3">
      <c r="A70" t="str" cm="1">
        <f t="array" ref="A70">_xlfn.LET(_xlpm.n,ROWS(A$2:A70),_xlpm.block,QUOTIENT(_xlpm.n-1,10),_xlpm.conceptRow,6+_xlpm.block*11,IF(INDEX(Curation!$A:$A,_xlpm.conceptRow)="","",INDEX(Curation!$A:$A,_xlpm.conceptRow)))</f>
        <v>citrom</v>
      </c>
      <c r="B70" t="s">
        <v>480</v>
      </c>
      <c r="C70" cm="1">
        <f t="array" ref="C70">_xlfn.LET(_xlpm.n,ROWS(C$2:C70),_xlpm.block,QUOTIENT(_xlpm.n-1,10),_xlpm.pos,MOD(_xlpm.n-1,10),_xlpm.conceptRow,6+_xlpm.block*11,_xlpm.srcRow,_xlpm.conceptRow+_xlpm.pos,IF(INDEX(Curation!$A:$A,_xlpm.conceptRow)="","",INDEX(Curation!$E:$E,_xlpm.srcRow)))</f>
        <v>1</v>
      </c>
      <c r="D70" cm="1">
        <f t="array" ref="D70">_xlfn.LET(_xlpm.n,ROWS(D$2:D70),_xlpm.block,QUOTIENT(_xlpm.n-1,10),_xlpm.pos,MOD(_xlpm.n-1,10),_xlpm.conceptRow,6+_xlpm.block*11,_xlpm.srcRow,_xlpm.conceptRow+_xlpm.pos,IF(INDEX(Curation!$A:$A,_xlpm.conceptRow)="","",INDEX(Curation!$F:$F,_xlpm.srcRow)))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71" spans="1:4" x14ac:dyDescent="0.3">
      <c r="A71" t="str" cm="1">
        <f t="array" ref="A71">_xlfn.LET(_xlpm.n,ROWS(A$2:A71),_xlpm.block,QUOTIENT(_xlpm.n-1,10),_xlpm.conceptRow,6+_xlpm.block*11,IF(INDEX(Curation!$A:$A,_xlpm.conceptRow)="","",INDEX(Curation!$A:$A,_xlpm.conceptRow)))</f>
        <v>citrom</v>
      </c>
      <c r="B71" t="s">
        <v>481</v>
      </c>
      <c r="C71" cm="1">
        <f t="array" ref="C71">_xlfn.LET(_xlpm.n,ROWS(C$2:C71),_xlpm.block,QUOTIENT(_xlpm.n-1,10),_xlpm.pos,MOD(_xlpm.n-1,10),_xlpm.conceptRow,6+_xlpm.block*11,_xlpm.srcRow,_xlpm.conceptRow+_xlpm.pos,IF(INDEX(Curation!$A:$A,_xlpm.conceptRow)="","",INDEX(Curation!$E:$E,_xlpm.srcRow)))</f>
        <v>2</v>
      </c>
      <c r="D71" cm="1">
        <f t="array" ref="D71">_xlfn.LET(_xlpm.n,ROWS(D$2:D71),_xlpm.block,QUOTIENT(_xlpm.n-1,10),_xlpm.pos,MOD(_xlpm.n-1,10),_xlpm.conceptRow,6+_xlpm.block*11,_xlpm.srcRow,_xlpm.conceptRow+_xlpm.pos,IF(INDEX(Curation!$A:$A,_xlpm.conceptRow)="","",INDEX(Curation!$F:$F,_xlpm.srcRow)))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72" spans="1:4" x14ac:dyDescent="0.3">
      <c r="A72" t="str" cm="1">
        <f t="array" ref="A72">_xlfn.LET(_xlpm.n,ROWS(A$2:A72),_xlpm.block,QUOTIENT(_xlpm.n-1,10),_xlpm.conceptRow,6+_xlpm.block*11,IF(INDEX(Curation!$A:$A,_xlpm.conceptRow)="","",INDEX(Curation!$A:$A,_xlpm.conceptRow)))</f>
        <v>eper</v>
      </c>
      <c r="B72" t="s">
        <v>472</v>
      </c>
      <c r="C72" cm="1">
        <f t="array" ref="C72">_xlfn.LET(_xlpm.n,ROWS(C$2:C72),_xlpm.block,QUOTIENT(_xlpm.n-1,10),_xlpm.pos,MOD(_xlpm.n-1,10),_xlpm.conceptRow,6+_xlpm.block*11,_xlpm.srcRow,_xlpm.conceptRow+_xlpm.pos,IF(INDEX(Curation!$A:$A,_xlpm.conceptRow)="","",INDEX(Curation!$E:$E,_xlpm.srcRow)))</f>
        <v>11</v>
      </c>
      <c r="D72" cm="1">
        <f t="array" ref="D72">_xlfn.LET(_xlpm.n,ROWS(D$2:D72),_xlpm.block,QUOTIENT(_xlpm.n-1,10),_xlpm.pos,MOD(_xlpm.n-1,10),_xlpm.conceptRow,6+_xlpm.block*11,_xlpm.srcRow,_xlpm.conceptRow+_xlpm.pos,IF(INDEX(Curation!$A:$A,_xlpm.conceptRow)="","",INDEX(Curation!$F:$F,_xlpm.srcRow)))</f>
        <v>0.125</v>
      </c>
    </row>
    <row r="73" spans="1:4" x14ac:dyDescent="0.3">
      <c r="A73" t="str" cm="1">
        <f t="array" ref="A73">_xlfn.LET(_xlpm.n,ROWS(A$2:A73),_xlpm.block,QUOTIENT(_xlpm.n-1,10),_xlpm.conceptRow,6+_xlpm.block*11,IF(INDEX(Curation!$A:$A,_xlpm.conceptRow)="","",INDEX(Curation!$A:$A,_xlpm.conceptRow)))</f>
        <v>eper</v>
      </c>
      <c r="B73" t="s">
        <v>473</v>
      </c>
      <c r="C73" cm="1">
        <f t="array" ref="C73">_xlfn.LET(_xlpm.n,ROWS(C$2:C73),_xlpm.block,QUOTIENT(_xlpm.n-1,10),_xlpm.pos,MOD(_xlpm.n-1,10),_xlpm.conceptRow,6+_xlpm.block*11,_xlpm.srcRow,_xlpm.conceptRow+_xlpm.pos,IF(INDEX(Curation!$A:$A,_xlpm.conceptRow)="","",INDEX(Curation!$E:$E,_xlpm.srcRow)))</f>
        <v>8</v>
      </c>
      <c r="D73" cm="1">
        <f t="array" ref="D73">_xlfn.LET(_xlpm.n,ROWS(D$2:D73),_xlpm.block,QUOTIENT(_xlpm.n-1,10),_xlpm.pos,MOD(_xlpm.n-1,10),_xlpm.conceptRow,6+_xlpm.block*11,_xlpm.srcRow,_xlpm.conceptRow+_xlpm.pos,IF(INDEX(Curation!$A:$A,_xlpm.conceptRow)="","",INDEX(Curation!$F:$F,_xlpm.srcRow)))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74" spans="1:4" x14ac:dyDescent="0.3">
      <c r="A74" t="str" cm="1">
        <f t="array" ref="A74">_xlfn.LET(_xlpm.n,ROWS(A$2:A74),_xlpm.block,QUOTIENT(_xlpm.n-1,10),_xlpm.conceptRow,6+_xlpm.block*11,IF(INDEX(Curation!$A:$A,_xlpm.conceptRow)="","",INDEX(Curation!$A:$A,_xlpm.conceptRow)))</f>
        <v>eper</v>
      </c>
      <c r="B74" t="s">
        <v>474</v>
      </c>
      <c r="C74" cm="1">
        <f t="array" ref="C74">_xlfn.LET(_xlpm.n,ROWS(C$2:C74),_xlpm.block,QUOTIENT(_xlpm.n-1,10),_xlpm.pos,MOD(_xlpm.n-1,10),_xlpm.conceptRow,6+_xlpm.block*11,_xlpm.srcRow,_xlpm.conceptRow+_xlpm.pos,IF(INDEX(Curation!$A:$A,_xlpm.conceptRow)="","",INDEX(Curation!$E:$E,_xlpm.srcRow)))</f>
        <v>1</v>
      </c>
      <c r="D74" cm="1">
        <f t="array" ref="D74">_xlfn.LET(_xlpm.n,ROWS(D$2:D74),_xlpm.block,QUOTIENT(_xlpm.n-1,10),_xlpm.pos,MOD(_xlpm.n-1,10),_xlpm.conceptRow,6+_xlpm.block*11,_xlpm.srcRow,_xlpm.conceptRow+_xlpm.pos,IF(INDEX(Curation!$A:$A,_xlpm.conceptRow)="","",INDEX(Curation!$F:$F,_xlpm.srcRow)))</f>
        <v>9.0999999999999998E-2</v>
      </c>
    </row>
    <row r="75" spans="1:4" x14ac:dyDescent="0.3">
      <c r="A75" t="str" cm="1">
        <f t="array" ref="A75">_xlfn.LET(_xlpm.n,ROWS(A$2:A75),_xlpm.block,QUOTIENT(_xlpm.n-1,10),_xlpm.conceptRow,6+_xlpm.block*11,IF(INDEX(Curation!$A:$A,_xlpm.conceptRow)="","",INDEX(Curation!$A:$A,_xlpm.conceptRow)))</f>
        <v>eper</v>
      </c>
      <c r="B75" t="s">
        <v>475</v>
      </c>
      <c r="C75" cm="1">
        <f t="array" ref="C75">_xlfn.LET(_xlpm.n,ROWS(C$2:C75),_xlpm.block,QUOTIENT(_xlpm.n-1,10),_xlpm.pos,MOD(_xlpm.n-1,10),_xlpm.conceptRow,6+_xlpm.block*11,_xlpm.srcRow,_xlpm.conceptRow+_xlpm.pos,IF(INDEX(Curation!$A:$A,_xlpm.conceptRow)="","",INDEX(Curation!$E:$E,_xlpm.srcRow)))</f>
        <v>13</v>
      </c>
      <c r="D75" cm="1">
        <f t="array" ref="D75">_xlfn.LET(_xlpm.n,ROWS(D$2:D75),_xlpm.block,QUOTIENT(_xlpm.n-1,10),_xlpm.pos,MOD(_xlpm.n-1,10),_xlpm.conceptRow,6+_xlpm.block*11,_xlpm.srcRow,_xlpm.conceptRow+_xlpm.pos,IF(INDEX(Curation!$A:$A,_xlpm.conceptRow)="","",INDEX(Curation!$F:$F,_xlpm.srcRow)))</f>
        <v>0.125</v>
      </c>
    </row>
    <row r="76" spans="1:4" x14ac:dyDescent="0.3">
      <c r="A76" t="str" cm="1">
        <f t="array" ref="A76">_xlfn.LET(_xlpm.n,ROWS(A$2:A76),_xlpm.block,QUOTIENT(_xlpm.n-1,10),_xlpm.conceptRow,6+_xlpm.block*11,IF(INDEX(Curation!$A:$A,_xlpm.conceptRow)="","",INDEX(Curation!$A:$A,_xlpm.conceptRow)))</f>
        <v>eper</v>
      </c>
      <c r="B76" t="s">
        <v>476</v>
      </c>
      <c r="C76" cm="1">
        <f t="array" ref="C76">_xlfn.LET(_xlpm.n,ROWS(C$2:C76),_xlpm.block,QUOTIENT(_xlpm.n-1,10),_xlpm.pos,MOD(_xlpm.n-1,10),_xlpm.conceptRow,6+_xlpm.block*11,_xlpm.srcRow,_xlpm.conceptRow+_xlpm.pos,IF(INDEX(Curation!$A:$A,_xlpm.conceptRow)="","",INDEX(Curation!$E:$E,_xlpm.srcRow)))</f>
        <v>3</v>
      </c>
      <c r="D76" cm="1">
        <f t="array" ref="D76">_xlfn.LET(_xlpm.n,ROWS(D$2:D76),_xlpm.block,QUOTIENT(_xlpm.n-1,10),_xlpm.pos,MOD(_xlpm.n-1,10),_xlpm.conceptRow,6+_xlpm.block*11,_xlpm.srcRow,_xlpm.conceptRow+_xlpm.pos,IF(INDEX(Curation!$A:$A,_xlpm.conceptRow)="","",INDEX(Curation!$F:$F,_xlpm.srcRow)))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77" spans="1:4" x14ac:dyDescent="0.3">
      <c r="A77" t="str" cm="1">
        <f t="array" ref="A77">_xlfn.LET(_xlpm.n,ROWS(A$2:A77),_xlpm.block,QUOTIENT(_xlpm.n-1,10),_xlpm.conceptRow,6+_xlpm.block*11,IF(INDEX(Curation!$A:$A,_xlpm.conceptRow)="","",INDEX(Curation!$A:$A,_xlpm.conceptRow)))</f>
        <v>eper</v>
      </c>
      <c r="B77" t="s">
        <v>477</v>
      </c>
      <c r="C77" cm="1">
        <f t="array" ref="C77">_xlfn.LET(_xlpm.n,ROWS(C$2:C77),_xlpm.block,QUOTIENT(_xlpm.n-1,10),_xlpm.pos,MOD(_xlpm.n-1,10),_xlpm.conceptRow,6+_xlpm.block*11,_xlpm.srcRow,_xlpm.conceptRow+_xlpm.pos,IF(INDEX(Curation!$A:$A,_xlpm.conceptRow)="","",INDEX(Curation!$E:$E,_xlpm.srcRow)))</f>
        <v>10</v>
      </c>
      <c r="D77" cm="1">
        <f t="array" ref="D77">_xlfn.LET(_xlpm.n,ROWS(D$2:D77),_xlpm.block,QUOTIENT(_xlpm.n-1,10),_xlpm.pos,MOD(_xlpm.n-1,10),_xlpm.conceptRow,6+_xlpm.block*11,_xlpm.srcRow,_xlpm.conceptRow+_xlpm.pos,IF(INDEX(Curation!$A:$A,_xlpm.conceptRow)="","",INDEX(Curation!$F:$F,_xlpm.srcRow)))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78" spans="1:4" x14ac:dyDescent="0.3">
      <c r="A78" t="str" cm="1">
        <f t="array" ref="A78">_xlfn.LET(_xlpm.n,ROWS(A$2:A78),_xlpm.block,QUOTIENT(_xlpm.n-1,10),_xlpm.conceptRow,6+_xlpm.block*11,IF(INDEX(Curation!$A:$A,_xlpm.conceptRow)="","",INDEX(Curation!$A:$A,_xlpm.conceptRow)))</f>
        <v>eper</v>
      </c>
      <c r="B78" t="s">
        <v>478</v>
      </c>
      <c r="C78" cm="1">
        <f t="array" ref="C78">_xlfn.LET(_xlpm.n,ROWS(C$2:C78),_xlpm.block,QUOTIENT(_xlpm.n-1,10),_xlpm.pos,MOD(_xlpm.n-1,10),_xlpm.conceptRow,6+_xlpm.block*11,_xlpm.srcRow,_xlpm.conceptRow+_xlpm.pos,IF(INDEX(Curation!$A:$A,_xlpm.conceptRow)="","",INDEX(Curation!$E:$E,_xlpm.srcRow)))</f>
        <v>15</v>
      </c>
      <c r="D78" cm="1">
        <f t="array" ref="D78">_xlfn.LET(_xlpm.n,ROWS(D$2:D78),_xlpm.block,QUOTIENT(_xlpm.n-1,10),_xlpm.pos,MOD(_xlpm.n-1,10),_xlpm.conceptRow,6+_xlpm.block*11,_xlpm.srcRow,_xlpm.conceptRow+_xlpm.pos,IF(INDEX(Curation!$A:$A,_xlpm.conceptRow)="","",INDEX(Curation!$F:$F,_xlpm.srcRow)))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79" spans="1:4" x14ac:dyDescent="0.3">
      <c r="A79" t="str" cm="1">
        <f t="array" ref="A79">_xlfn.LET(_xlpm.n,ROWS(A$2:A79),_xlpm.block,QUOTIENT(_xlpm.n-1,10),_xlpm.conceptRow,6+_xlpm.block*11,IF(INDEX(Curation!$A:$A,_xlpm.conceptRow)="","",INDEX(Curation!$A:$A,_xlpm.conceptRow)))</f>
        <v>eper</v>
      </c>
      <c r="B79" t="s">
        <v>479</v>
      </c>
      <c r="C79" cm="1">
        <f t="array" ref="C79">_xlfn.LET(_xlpm.n,ROWS(C$2:C79),_xlpm.block,QUOTIENT(_xlpm.n-1,10),_xlpm.pos,MOD(_xlpm.n-1,10),_xlpm.conceptRow,6+_xlpm.block*11,_xlpm.srcRow,_xlpm.conceptRow+_xlpm.pos,IF(INDEX(Curation!$A:$A,_xlpm.conceptRow)="","",INDEX(Curation!$E:$E,_xlpm.srcRow)))</f>
        <v>3</v>
      </c>
      <c r="D79" cm="1">
        <f t="array" ref="D79">_xlfn.LET(_xlpm.n,ROWS(D$2:D79),_xlpm.block,QUOTIENT(_xlpm.n-1,10),_xlpm.pos,MOD(_xlpm.n-1,10),_xlpm.conceptRow,6+_xlpm.block*11,_xlpm.srcRow,_xlpm.conceptRow+_xlpm.pos,IF(INDEX(Curation!$A:$A,_xlpm.conceptRow)="","",INDEX(Curation!$F:$F,_xlpm.srcRow)))</f>
        <v>9.0999999999999998E-2</v>
      </c>
    </row>
    <row r="80" spans="1:4" x14ac:dyDescent="0.3">
      <c r="A80" t="str" cm="1">
        <f t="array" ref="A80">_xlfn.LET(_xlpm.n,ROWS(A$2:A80),_xlpm.block,QUOTIENT(_xlpm.n-1,10),_xlpm.conceptRow,6+_xlpm.block*11,IF(INDEX(Curation!$A:$A,_xlpm.conceptRow)="","",INDEX(Curation!$A:$A,_xlpm.conceptRow)))</f>
        <v>eper</v>
      </c>
      <c r="B80" t="s">
        <v>480</v>
      </c>
      <c r="C80" cm="1">
        <f t="array" ref="C80">_xlfn.LET(_xlpm.n,ROWS(C$2:C80),_xlpm.block,QUOTIENT(_xlpm.n-1,10),_xlpm.pos,MOD(_xlpm.n-1,10),_xlpm.conceptRow,6+_xlpm.block*11,_xlpm.srcRow,_xlpm.conceptRow+_xlpm.pos,IF(INDEX(Curation!$A:$A,_xlpm.conceptRow)="","",INDEX(Curation!$E:$E,_xlpm.srcRow)))</f>
        <v>3</v>
      </c>
      <c r="D80" cm="1">
        <f t="array" ref="D80">_xlfn.LET(_xlpm.n,ROWS(D$2:D80),_xlpm.block,QUOTIENT(_xlpm.n-1,10),_xlpm.pos,MOD(_xlpm.n-1,10),_xlpm.conceptRow,6+_xlpm.block*11,_xlpm.srcRow,_xlpm.conceptRow+_xlpm.pos,IF(INDEX(Curation!$A:$A,_xlpm.conceptRow)="","",INDEX(Curation!$F:$F,_xlpm.srcRow)))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81" spans="1:4" x14ac:dyDescent="0.3">
      <c r="A81" t="str" cm="1">
        <f t="array" ref="A81">_xlfn.LET(_xlpm.n,ROWS(A$2:A81),_xlpm.block,QUOTIENT(_xlpm.n-1,10),_xlpm.conceptRow,6+_xlpm.block*11,IF(INDEX(Curation!$A:$A,_xlpm.conceptRow)="","",INDEX(Curation!$A:$A,_xlpm.conceptRow)))</f>
        <v>eper</v>
      </c>
      <c r="B81" t="s">
        <v>481</v>
      </c>
      <c r="C81" cm="1">
        <f t="array" ref="C81">_xlfn.LET(_xlpm.n,ROWS(C$2:C81),_xlpm.block,QUOTIENT(_xlpm.n-1,10),_xlpm.pos,MOD(_xlpm.n-1,10),_xlpm.conceptRow,6+_xlpm.block*11,_xlpm.srcRow,_xlpm.conceptRow+_xlpm.pos,IF(INDEX(Curation!$A:$A,_xlpm.conceptRow)="","",INDEX(Curation!$E:$E,_xlpm.srcRow)))</f>
        <v>3</v>
      </c>
      <c r="D81" cm="1">
        <f t="array" ref="D81">_xlfn.LET(_xlpm.n,ROWS(D$2:D81),_xlpm.block,QUOTIENT(_xlpm.n-1,10),_xlpm.pos,MOD(_xlpm.n-1,10),_xlpm.conceptRow,6+_xlpm.block*11,_xlpm.srcRow,_xlpm.conceptRow+_xlpm.pos,IF(INDEX(Curation!$A:$A,_xlpm.conceptRow)="","",INDEX(Curation!$F:$F,_xlpm.srcRow)))</f>
        <v>0.111</v>
      </c>
    </row>
    <row r="82" spans="1:4" x14ac:dyDescent="0.3">
      <c r="A82" t="str" cm="1">
        <f t="array" ref="A82">_xlfn.LET(_xlpm.n,ROWS(A$2:A82),_xlpm.block,QUOTIENT(_xlpm.n-1,10),_xlpm.conceptRow,6+_xlpm.block*11,IF(INDEX(Curation!$A:$A,_xlpm.conceptRow)="","",INDEX(Curation!$A:$A,_xlpm.conceptRow)))</f>
        <v>erdő</v>
      </c>
      <c r="B82" t="s">
        <v>472</v>
      </c>
      <c r="C82" cm="1">
        <f t="array" ref="C82">_xlfn.LET(_xlpm.n,ROWS(C$2:C82),_xlpm.block,QUOTIENT(_xlpm.n-1,10),_xlpm.pos,MOD(_xlpm.n-1,10),_xlpm.conceptRow,6+_xlpm.block*11,_xlpm.srcRow,_xlpm.conceptRow+_xlpm.pos,IF(INDEX(Curation!$A:$A,_xlpm.conceptRow)="","",INDEX(Curation!$E:$E,_xlpm.srcRow)))</f>
        <v>3</v>
      </c>
      <c r="D82" cm="1">
        <f t="array" ref="D82">_xlfn.LET(_xlpm.n,ROWS(D$2:D82),_xlpm.block,QUOTIENT(_xlpm.n-1,10),_xlpm.pos,MOD(_xlpm.n-1,10),_xlpm.conceptRow,6+_xlpm.block*11,_xlpm.srcRow,_xlpm.conceptRow+_xlpm.pos,IF(INDEX(Curation!$A:$A,_xlpm.conceptRow)="","",INDEX(Curation!$F:$F,_xlpm.srcRow)))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83" spans="1:4" x14ac:dyDescent="0.3">
      <c r="A83" t="str" cm="1">
        <f t="array" ref="A83">_xlfn.LET(_xlpm.n,ROWS(A$2:A83),_xlpm.block,QUOTIENT(_xlpm.n-1,10),_xlpm.conceptRow,6+_xlpm.block*11,IF(INDEX(Curation!$A:$A,_xlpm.conceptRow)="","",INDEX(Curation!$A:$A,_xlpm.conceptRow)))</f>
        <v>erdő</v>
      </c>
      <c r="B83" t="s">
        <v>473</v>
      </c>
      <c r="C83" cm="1">
        <f t="array" ref="C83">_xlfn.LET(_xlpm.n,ROWS(C$2:C83),_xlpm.block,QUOTIENT(_xlpm.n-1,10),_xlpm.pos,MOD(_xlpm.n-1,10),_xlpm.conceptRow,6+_xlpm.block*11,_xlpm.srcRow,_xlpm.conceptRow+_xlpm.pos,IF(INDEX(Curation!$A:$A,_xlpm.conceptRow)="","",INDEX(Curation!$E:$E,_xlpm.srcRow)))</f>
        <v>2</v>
      </c>
      <c r="D83" cm="1">
        <f t="array" ref="D83">_xlfn.LET(_xlpm.n,ROWS(D$2:D83),_xlpm.block,QUOTIENT(_xlpm.n-1,10),_xlpm.pos,MOD(_xlpm.n-1,10),_xlpm.conceptRow,6+_xlpm.block*11,_xlpm.srcRow,_xlpm.conceptRow+_xlpm.pos,IF(INDEX(Curation!$A:$A,_xlpm.conceptRow)="","",INDEX(Curation!$F:$F,_xlpm.srcRow)))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84" spans="1:4" x14ac:dyDescent="0.3">
      <c r="A84" t="str" cm="1">
        <f t="array" ref="A84">_xlfn.LET(_xlpm.n,ROWS(A$2:A84),_xlpm.block,QUOTIENT(_xlpm.n-1,10),_xlpm.conceptRow,6+_xlpm.block*11,IF(INDEX(Curation!$A:$A,_xlpm.conceptRow)="","",INDEX(Curation!$A:$A,_xlpm.conceptRow)))</f>
        <v>erdő</v>
      </c>
      <c r="B84" t="s">
        <v>474</v>
      </c>
      <c r="C84" cm="1">
        <f t="array" ref="C84">_xlfn.LET(_xlpm.n,ROWS(C$2:C84),_xlpm.block,QUOTIENT(_xlpm.n-1,10),_xlpm.pos,MOD(_xlpm.n-1,10),_xlpm.conceptRow,6+_xlpm.block*11,_xlpm.srcRow,_xlpm.conceptRow+_xlpm.pos,IF(INDEX(Curation!$A:$A,_xlpm.conceptRow)="","",INDEX(Curation!$E:$E,_xlpm.srcRow)))</f>
        <v>2</v>
      </c>
      <c r="D84" cm="1">
        <f t="array" ref="D84">_xlfn.LET(_xlpm.n,ROWS(D$2:D84),_xlpm.block,QUOTIENT(_xlpm.n-1,10),_xlpm.pos,MOD(_xlpm.n-1,10),_xlpm.conceptRow,6+_xlpm.block*11,_xlpm.srcRow,_xlpm.conceptRow+_xlpm.pos,IF(INDEX(Curation!$A:$A,_xlpm.conceptRow)="","",INDEX(Curation!$F:$F,_xlpm.srcRow)))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85" spans="1:4" x14ac:dyDescent="0.3">
      <c r="A85" t="str" cm="1">
        <f t="array" ref="A85">_xlfn.LET(_xlpm.n,ROWS(A$2:A85),_xlpm.block,QUOTIENT(_xlpm.n-1,10),_xlpm.conceptRow,6+_xlpm.block*11,IF(INDEX(Curation!$A:$A,_xlpm.conceptRow)="","",INDEX(Curation!$A:$A,_xlpm.conceptRow)))</f>
        <v>erdő</v>
      </c>
      <c r="B85" t="s">
        <v>475</v>
      </c>
      <c r="C85" cm="1">
        <f t="array" ref="C85">_xlfn.LET(_xlpm.n,ROWS(C$2:C85),_xlpm.block,QUOTIENT(_xlpm.n-1,10),_xlpm.pos,MOD(_xlpm.n-1,10),_xlpm.conceptRow,6+_xlpm.block*11,_xlpm.srcRow,_xlpm.conceptRow+_xlpm.pos,IF(INDEX(Curation!$A:$A,_xlpm.conceptRow)="","",INDEX(Curation!$E:$E,_xlpm.srcRow)))</f>
        <v>2</v>
      </c>
      <c r="D85" cm="1">
        <f t="array" ref="D85">_xlfn.LET(_xlpm.n,ROWS(D$2:D85),_xlpm.block,QUOTIENT(_xlpm.n-1,10),_xlpm.pos,MOD(_xlpm.n-1,10),_xlpm.conceptRow,6+_xlpm.block*11,_xlpm.srcRow,_xlpm.conceptRow+_xlpm.pos,IF(INDEX(Curation!$A:$A,_xlpm.conceptRow)="","",INDEX(Curation!$F:$F,_xlpm.srcRow)))</f>
        <v>0.05</v>
      </c>
    </row>
    <row r="86" spans="1:4" x14ac:dyDescent="0.3">
      <c r="A86" t="str" cm="1">
        <f t="array" ref="A86">_xlfn.LET(_xlpm.n,ROWS(A$2:A86),_xlpm.block,QUOTIENT(_xlpm.n-1,10),_xlpm.conceptRow,6+_xlpm.block*11,IF(INDEX(Curation!$A:$A,_xlpm.conceptRow)="","",INDEX(Curation!$A:$A,_xlpm.conceptRow)))</f>
        <v>erdő</v>
      </c>
      <c r="B86" t="s">
        <v>476</v>
      </c>
      <c r="C86" cm="1">
        <f t="array" ref="C86">_xlfn.LET(_xlpm.n,ROWS(C$2:C86),_xlpm.block,QUOTIENT(_xlpm.n-1,10),_xlpm.pos,MOD(_xlpm.n-1,10),_xlpm.conceptRow,6+_xlpm.block*11,_xlpm.srcRow,_xlpm.conceptRow+_xlpm.pos,IF(INDEX(Curation!$A:$A,_xlpm.conceptRow)="","",INDEX(Curation!$E:$E,_xlpm.srcRow)))</f>
        <v>4</v>
      </c>
      <c r="D86" cm="1">
        <f t="array" ref="D86">_xlfn.LET(_xlpm.n,ROWS(D$2:D86),_xlpm.block,QUOTIENT(_xlpm.n-1,10),_xlpm.pos,MOD(_xlpm.n-1,10),_xlpm.conceptRow,6+_xlpm.block*11,_xlpm.srcRow,_xlpm.conceptRow+_xlpm.pos,IF(INDEX(Curation!$A:$A,_xlpm.conceptRow)="","",INDEX(Curation!$F:$F,_xlpm.srcRow)))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87" spans="1:4" x14ac:dyDescent="0.3">
      <c r="A87" t="str" cm="1">
        <f t="array" ref="A87">_xlfn.LET(_xlpm.n,ROWS(A$2:A87),_xlpm.block,QUOTIENT(_xlpm.n-1,10),_xlpm.conceptRow,6+_xlpm.block*11,IF(INDEX(Curation!$A:$A,_xlpm.conceptRow)="","",INDEX(Curation!$A:$A,_xlpm.conceptRow)))</f>
        <v>erdő</v>
      </c>
      <c r="B87" t="s">
        <v>477</v>
      </c>
      <c r="C87" cm="1">
        <f t="array" ref="C87">_xlfn.LET(_xlpm.n,ROWS(C$2:C87),_xlpm.block,QUOTIENT(_xlpm.n-1,10),_xlpm.pos,MOD(_xlpm.n-1,10),_xlpm.conceptRow,6+_xlpm.block*11,_xlpm.srcRow,_xlpm.conceptRow+_xlpm.pos,IF(INDEX(Curation!$A:$A,_xlpm.conceptRow)="","",INDEX(Curation!$E:$E,_xlpm.srcRow)))</f>
        <v>2</v>
      </c>
      <c r="D87" cm="1">
        <f t="array" ref="D87">_xlfn.LET(_xlpm.n,ROWS(D$2:D87),_xlpm.block,QUOTIENT(_xlpm.n-1,10),_xlpm.pos,MOD(_xlpm.n-1,10),_xlpm.conceptRow,6+_xlpm.block*11,_xlpm.srcRow,_xlpm.conceptRow+_xlpm.pos,IF(INDEX(Curation!$A:$A,_xlpm.conceptRow)="","",INDEX(Curation!$F:$F,_xlpm.srcRow)))</f>
        <v>0.16700000000000001</v>
      </c>
    </row>
    <row r="88" spans="1:4" x14ac:dyDescent="0.3">
      <c r="A88" t="str" cm="1">
        <f t="array" ref="A88">_xlfn.LET(_xlpm.n,ROWS(A$2:A88),_xlpm.block,QUOTIENT(_xlpm.n-1,10),_xlpm.conceptRow,6+_xlpm.block*11,IF(INDEX(Curation!$A:$A,_xlpm.conceptRow)="","",INDEX(Curation!$A:$A,_xlpm.conceptRow)))</f>
        <v>erdő</v>
      </c>
      <c r="B88" t="s">
        <v>478</v>
      </c>
      <c r="C88" cm="1">
        <f t="array" ref="C88">_xlfn.LET(_xlpm.n,ROWS(C$2:C88),_xlpm.block,QUOTIENT(_xlpm.n-1,10),_xlpm.pos,MOD(_xlpm.n-1,10),_xlpm.conceptRow,6+_xlpm.block*11,_xlpm.srcRow,_xlpm.conceptRow+_xlpm.pos,IF(INDEX(Curation!$A:$A,_xlpm.conceptRow)="","",INDEX(Curation!$E:$E,_xlpm.srcRow)))</f>
        <v>1</v>
      </c>
      <c r="D88" cm="1">
        <f t="array" ref="D88">_xlfn.LET(_xlpm.n,ROWS(D$2:D88),_xlpm.block,QUOTIENT(_xlpm.n-1,10),_xlpm.pos,MOD(_xlpm.n-1,10),_xlpm.conceptRow,6+_xlpm.block*11,_xlpm.srcRow,_xlpm.conceptRow+_xlpm.pos,IF(INDEX(Curation!$A:$A,_xlpm.conceptRow)="","",INDEX(Curation!$F:$F,_xlpm.srcRow)))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89" spans="1:4" x14ac:dyDescent="0.3">
      <c r="A89" t="str" cm="1">
        <f t="array" ref="A89">_xlfn.LET(_xlpm.n,ROWS(A$2:A89),_xlpm.block,QUOTIENT(_xlpm.n-1,10),_xlpm.conceptRow,6+_xlpm.block*11,IF(INDEX(Curation!$A:$A,_xlpm.conceptRow)="","",INDEX(Curation!$A:$A,_xlpm.conceptRow)))</f>
        <v>erdő</v>
      </c>
      <c r="B89" t="s">
        <v>479</v>
      </c>
      <c r="C89" cm="1">
        <f t="array" ref="C89">_xlfn.LET(_xlpm.n,ROWS(C$2:C89),_xlpm.block,QUOTIENT(_xlpm.n-1,10),_xlpm.pos,MOD(_xlpm.n-1,10),_xlpm.conceptRow,6+_xlpm.block*11,_xlpm.srcRow,_xlpm.conceptRow+_xlpm.pos,IF(INDEX(Curation!$A:$A,_xlpm.conceptRow)="","",INDEX(Curation!$E:$E,_xlpm.srcRow)))</f>
        <v>4</v>
      </c>
      <c r="D89" cm="1">
        <f t="array" ref="D89">_xlfn.LET(_xlpm.n,ROWS(D$2:D89),_xlpm.block,QUOTIENT(_xlpm.n-1,10),_xlpm.pos,MOD(_xlpm.n-1,10),_xlpm.conceptRow,6+_xlpm.block*11,_xlpm.srcRow,_xlpm.conceptRow+_xlpm.pos,IF(INDEX(Curation!$A:$A,_xlpm.conceptRow)="","",INDEX(Curation!$F:$F,_xlpm.srcRow)))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90" spans="1:4" x14ac:dyDescent="0.3">
      <c r="A90" t="str" cm="1">
        <f t="array" ref="A90">_xlfn.LET(_xlpm.n,ROWS(A$2:A90),_xlpm.block,QUOTIENT(_xlpm.n-1,10),_xlpm.conceptRow,6+_xlpm.block*11,IF(INDEX(Curation!$A:$A,_xlpm.conceptRow)="","",INDEX(Curation!$A:$A,_xlpm.conceptRow)))</f>
        <v>erdő</v>
      </c>
      <c r="B90" t="s">
        <v>480</v>
      </c>
      <c r="C90" cm="1">
        <f t="array" ref="C90">_xlfn.LET(_xlpm.n,ROWS(C$2:C90),_xlpm.block,QUOTIENT(_xlpm.n-1,10),_xlpm.pos,MOD(_xlpm.n-1,10),_xlpm.conceptRow,6+_xlpm.block*11,_xlpm.srcRow,_xlpm.conceptRow+_xlpm.pos,IF(INDEX(Curation!$A:$A,_xlpm.conceptRow)="","",INDEX(Curation!$E:$E,_xlpm.srcRow)))</f>
        <v>1</v>
      </c>
      <c r="D90" cm="1">
        <f t="array" ref="D90">_xlfn.LET(_xlpm.n,ROWS(D$2:D90),_xlpm.block,QUOTIENT(_xlpm.n-1,10),_xlpm.pos,MOD(_xlpm.n-1,10),_xlpm.conceptRow,6+_xlpm.block*11,_xlpm.srcRow,_xlpm.conceptRow+_xlpm.pos,IF(INDEX(Curation!$A:$A,_xlpm.conceptRow)="","",INDEX(Curation!$F:$F,_xlpm.srcRow)))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91" spans="1:4" x14ac:dyDescent="0.3">
      <c r="A91" t="str" cm="1">
        <f t="array" ref="A91">_xlfn.LET(_xlpm.n,ROWS(A$2:A91),_xlpm.block,QUOTIENT(_xlpm.n-1,10),_xlpm.conceptRow,6+_xlpm.block*11,IF(INDEX(Curation!$A:$A,_xlpm.conceptRow)="","",INDEX(Curation!$A:$A,_xlpm.conceptRow)))</f>
        <v>erdő</v>
      </c>
      <c r="B91" t="s">
        <v>481</v>
      </c>
      <c r="C91" cm="1">
        <f t="array" ref="C91">_xlfn.LET(_xlpm.n,ROWS(C$2:C91),_xlpm.block,QUOTIENT(_xlpm.n-1,10),_xlpm.pos,MOD(_xlpm.n-1,10),_xlpm.conceptRow,6+_xlpm.block*11,_xlpm.srcRow,_xlpm.conceptRow+_xlpm.pos,IF(INDEX(Curation!$A:$A,_xlpm.conceptRow)="","",INDEX(Curation!$E:$E,_xlpm.srcRow)))</f>
        <v>1</v>
      </c>
      <c r="D91" cm="1">
        <f t="array" ref="D91">_xlfn.LET(_xlpm.n,ROWS(D$2:D91),_xlpm.block,QUOTIENT(_xlpm.n-1,10),_xlpm.pos,MOD(_xlpm.n-1,10),_xlpm.conceptRow,6+_xlpm.block*11,_xlpm.srcRow,_xlpm.conceptRow+_xlpm.pos,IF(INDEX(Curation!$A:$A,_xlpm.conceptRow)="","",INDEX(Curation!$F:$F,_xlpm.srcRow)))</f>
        <v>9.0999999999999998E-2</v>
      </c>
    </row>
    <row r="92" spans="1:4" x14ac:dyDescent="0.3">
      <c r="A92" t="str" cm="1">
        <f t="array" ref="A92">_xlfn.LET(_xlpm.n,ROWS(A$2:A92),_xlpm.block,QUOTIENT(_xlpm.n-1,10),_xlpm.conceptRow,6+_xlpm.block*11,IF(INDEX(Curation!$A:$A,_xlpm.conceptRow)="","",INDEX(Curation!$A:$A,_xlpm.conceptRow)))</f>
        <v>gomba</v>
      </c>
      <c r="B92" t="s">
        <v>472</v>
      </c>
      <c r="C92" cm="1">
        <f t="array" ref="C92">_xlfn.LET(_xlpm.n,ROWS(C$2:C92),_xlpm.block,QUOTIENT(_xlpm.n-1,10),_xlpm.pos,MOD(_xlpm.n-1,10),_xlpm.conceptRow,6+_xlpm.block*11,_xlpm.srcRow,_xlpm.conceptRow+_xlpm.pos,IF(INDEX(Curation!$A:$A,_xlpm.conceptRow)="","",INDEX(Curation!$E:$E,_xlpm.srcRow)))</f>
        <v>14</v>
      </c>
      <c r="D92" cm="1">
        <f t="array" ref="D92">_xlfn.LET(_xlpm.n,ROWS(D$2:D92),_xlpm.block,QUOTIENT(_xlpm.n-1,10),_xlpm.pos,MOD(_xlpm.n-1,10),_xlpm.conceptRow,6+_xlpm.block*11,_xlpm.srcRow,_xlpm.conceptRow+_xlpm.pos,IF(INDEX(Curation!$A:$A,_xlpm.conceptRow)="","",INDEX(Curation!$F:$F,_xlpm.srcRow)))</f>
        <v>0.125</v>
      </c>
    </row>
    <row r="93" spans="1:4" x14ac:dyDescent="0.3">
      <c r="A93" t="str" cm="1">
        <f t="array" ref="A93">_xlfn.LET(_xlpm.n,ROWS(A$2:A93),_xlpm.block,QUOTIENT(_xlpm.n-1,10),_xlpm.conceptRow,6+_xlpm.block*11,IF(INDEX(Curation!$A:$A,_xlpm.conceptRow)="","",INDEX(Curation!$A:$A,_xlpm.conceptRow)))</f>
        <v>gomba</v>
      </c>
      <c r="B93" t="s">
        <v>473</v>
      </c>
      <c r="C93" cm="1">
        <f t="array" ref="C93">_xlfn.LET(_xlpm.n,ROWS(C$2:C93),_xlpm.block,QUOTIENT(_xlpm.n-1,10),_xlpm.pos,MOD(_xlpm.n-1,10),_xlpm.conceptRow,6+_xlpm.block*11,_xlpm.srcRow,_xlpm.conceptRow+_xlpm.pos,IF(INDEX(Curation!$A:$A,_xlpm.conceptRow)="","",INDEX(Curation!$E:$E,_xlpm.srcRow)))</f>
        <v>12</v>
      </c>
      <c r="D93" cm="1">
        <f t="array" ref="D93">_xlfn.LET(_xlpm.n,ROWS(D$2:D93),_xlpm.block,QUOTIENT(_xlpm.n-1,10),_xlpm.pos,MOD(_xlpm.n-1,10),_xlpm.conceptRow,6+_xlpm.block*11,_xlpm.srcRow,_xlpm.conceptRow+_xlpm.pos,IF(INDEX(Curation!$A:$A,_xlpm.conceptRow)="","",INDEX(Curation!$F:$F,_xlpm.srcRow)))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94" spans="1:4" x14ac:dyDescent="0.3">
      <c r="A94" t="str" cm="1">
        <f t="array" ref="A94">_xlfn.LET(_xlpm.n,ROWS(A$2:A94),_xlpm.block,QUOTIENT(_xlpm.n-1,10),_xlpm.conceptRow,6+_xlpm.block*11,IF(INDEX(Curation!$A:$A,_xlpm.conceptRow)="","",INDEX(Curation!$A:$A,_xlpm.conceptRow)))</f>
        <v>gomba</v>
      </c>
      <c r="B94" t="s">
        <v>474</v>
      </c>
      <c r="C94" cm="1">
        <f t="array" ref="C94">_xlfn.LET(_xlpm.n,ROWS(C$2:C94),_xlpm.block,QUOTIENT(_xlpm.n-1,10),_xlpm.pos,MOD(_xlpm.n-1,10),_xlpm.conceptRow,6+_xlpm.block*11,_xlpm.srcRow,_xlpm.conceptRow+_xlpm.pos,IF(INDEX(Curation!$A:$A,_xlpm.conceptRow)="","",INDEX(Curation!$E:$E,_xlpm.srcRow)))</f>
        <v>4</v>
      </c>
      <c r="D94" cm="1">
        <f t="array" ref="D94">_xlfn.LET(_xlpm.n,ROWS(D$2:D94),_xlpm.block,QUOTIENT(_xlpm.n-1,10),_xlpm.pos,MOD(_xlpm.n-1,10),_xlpm.conceptRow,6+_xlpm.block*11,_xlpm.srcRow,_xlpm.conceptRow+_xlpm.pos,IF(INDEX(Curation!$A:$A,_xlpm.conceptRow)="","",INDEX(Curation!$F:$F,_xlpm.srcRow)))</f>
        <v>0.1</v>
      </c>
    </row>
    <row r="95" spans="1:4" x14ac:dyDescent="0.3">
      <c r="A95" t="str" cm="1">
        <f t="array" ref="A95">_xlfn.LET(_xlpm.n,ROWS(A$2:A95),_xlpm.block,QUOTIENT(_xlpm.n-1,10),_xlpm.conceptRow,6+_xlpm.block*11,IF(INDEX(Curation!$A:$A,_xlpm.conceptRow)="","",INDEX(Curation!$A:$A,_xlpm.conceptRow)))</f>
        <v>gomba</v>
      </c>
      <c r="B95" t="s">
        <v>475</v>
      </c>
      <c r="C95" cm="1">
        <f t="array" ref="C95">_xlfn.LET(_xlpm.n,ROWS(C$2:C95),_xlpm.block,QUOTIENT(_xlpm.n-1,10),_xlpm.pos,MOD(_xlpm.n-1,10),_xlpm.conceptRow,6+_xlpm.block*11,_xlpm.srcRow,_xlpm.conceptRow+_xlpm.pos,IF(INDEX(Curation!$A:$A,_xlpm.conceptRow)="","",INDEX(Curation!$E:$E,_xlpm.srcRow)))</f>
        <v>10</v>
      </c>
      <c r="D95" cm="1">
        <f t="array" ref="D95">_xlfn.LET(_xlpm.n,ROWS(D$2:D95),_xlpm.block,QUOTIENT(_xlpm.n-1,10),_xlpm.pos,MOD(_xlpm.n-1,10),_xlpm.conceptRow,6+_xlpm.block*11,_xlpm.srcRow,_xlpm.conceptRow+_xlpm.pos,IF(INDEX(Curation!$A:$A,_xlpm.conceptRow)="","",INDEX(Curation!$F:$F,_xlpm.srcRow)))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96" spans="1:4" x14ac:dyDescent="0.3">
      <c r="A96" t="str" cm="1">
        <f t="array" ref="A96">_xlfn.LET(_xlpm.n,ROWS(A$2:A96),_xlpm.block,QUOTIENT(_xlpm.n-1,10),_xlpm.conceptRow,6+_xlpm.block*11,IF(INDEX(Curation!$A:$A,_xlpm.conceptRow)="","",INDEX(Curation!$A:$A,_xlpm.conceptRow)))</f>
        <v>gomba</v>
      </c>
      <c r="B96" t="s">
        <v>476</v>
      </c>
      <c r="C96" cm="1">
        <f t="array" ref="C96">_xlfn.LET(_xlpm.n,ROWS(C$2:C96),_xlpm.block,QUOTIENT(_xlpm.n-1,10),_xlpm.pos,MOD(_xlpm.n-1,10),_xlpm.conceptRow,6+_xlpm.block*11,_xlpm.srcRow,_xlpm.conceptRow+_xlpm.pos,IF(INDEX(Curation!$A:$A,_xlpm.conceptRow)="","",INDEX(Curation!$E:$E,_xlpm.srcRow)))</f>
        <v>2</v>
      </c>
      <c r="D96" cm="1">
        <f t="array" ref="D96">_xlfn.LET(_xlpm.n,ROWS(D$2:D96),_xlpm.block,QUOTIENT(_xlpm.n-1,10),_xlpm.pos,MOD(_xlpm.n-1,10),_xlpm.conceptRow,6+_xlpm.block*11,_xlpm.srcRow,_xlpm.conceptRow+_xlpm.pos,IF(INDEX(Curation!$A:$A,_xlpm.conceptRow)="","",INDEX(Curation!$F:$F,_xlpm.srcRow)))</f>
        <v>0.1</v>
      </c>
    </row>
    <row r="97" spans="1:4" x14ac:dyDescent="0.3">
      <c r="A97" t="str" cm="1">
        <f t="array" ref="A97">_xlfn.LET(_xlpm.n,ROWS(A$2:A97),_xlpm.block,QUOTIENT(_xlpm.n-1,10),_xlpm.conceptRow,6+_xlpm.block*11,IF(INDEX(Curation!$A:$A,_xlpm.conceptRow)="","",INDEX(Curation!$A:$A,_xlpm.conceptRow)))</f>
        <v>gomba</v>
      </c>
      <c r="B97" t="s">
        <v>477</v>
      </c>
      <c r="C97" cm="1">
        <f t="array" ref="C97">_xlfn.LET(_xlpm.n,ROWS(C$2:C97),_xlpm.block,QUOTIENT(_xlpm.n-1,10),_xlpm.pos,MOD(_xlpm.n-1,10),_xlpm.conceptRow,6+_xlpm.block*11,_xlpm.srcRow,_xlpm.conceptRow+_xlpm.pos,IF(INDEX(Curation!$A:$A,_xlpm.conceptRow)="","",INDEX(Curation!$E:$E,_xlpm.srcRow)))</f>
        <v>3</v>
      </c>
      <c r="D97" cm="1">
        <f t="array" ref="D97">_xlfn.LET(_xlpm.n,ROWS(D$2:D97),_xlpm.block,QUOTIENT(_xlpm.n-1,10),_xlpm.pos,MOD(_xlpm.n-1,10),_xlpm.conceptRow,6+_xlpm.block*11,_xlpm.srcRow,_xlpm.conceptRow+_xlpm.pos,IF(INDEX(Curation!$A:$A,_xlpm.conceptRow)="","",INDEX(Curation!$F:$F,_xlpm.srcRow)))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98" spans="1:4" x14ac:dyDescent="0.3">
      <c r="A98" t="str" cm="1">
        <f t="array" ref="A98">_xlfn.LET(_xlpm.n,ROWS(A$2:A98),_xlpm.block,QUOTIENT(_xlpm.n-1,10),_xlpm.conceptRow,6+_xlpm.block*11,IF(INDEX(Curation!$A:$A,_xlpm.conceptRow)="","",INDEX(Curation!$A:$A,_xlpm.conceptRow)))</f>
        <v>gomba</v>
      </c>
      <c r="B98" t="s">
        <v>478</v>
      </c>
      <c r="C98" cm="1">
        <f t="array" ref="C98">_xlfn.LET(_xlpm.n,ROWS(C$2:C98),_xlpm.block,QUOTIENT(_xlpm.n-1,10),_xlpm.pos,MOD(_xlpm.n-1,10),_xlpm.conceptRow,6+_xlpm.block*11,_xlpm.srcRow,_xlpm.conceptRow+_xlpm.pos,IF(INDEX(Curation!$A:$A,_xlpm.conceptRow)="","",INDEX(Curation!$E:$E,_xlpm.srcRow)))</f>
        <v>2</v>
      </c>
      <c r="D98" cm="1">
        <f t="array" ref="D98">_xlfn.LET(_xlpm.n,ROWS(D$2:D98),_xlpm.block,QUOTIENT(_xlpm.n-1,10),_xlpm.pos,MOD(_xlpm.n-1,10),_xlpm.conceptRow,6+_xlpm.block*11,_xlpm.srcRow,_xlpm.conceptRow+_xlpm.pos,IF(INDEX(Curation!$A:$A,_xlpm.conceptRow)="","",INDEX(Curation!$F:$F,_xlpm.srcRow)))</f>
        <v>0.125</v>
      </c>
    </row>
    <row r="99" spans="1:4" x14ac:dyDescent="0.3">
      <c r="A99" t="str" cm="1">
        <f t="array" ref="A99">_xlfn.LET(_xlpm.n,ROWS(A$2:A99),_xlpm.block,QUOTIENT(_xlpm.n-1,10),_xlpm.conceptRow,6+_xlpm.block*11,IF(INDEX(Curation!$A:$A,_xlpm.conceptRow)="","",INDEX(Curation!$A:$A,_xlpm.conceptRow)))</f>
        <v>gomba</v>
      </c>
      <c r="B99" t="s">
        <v>479</v>
      </c>
      <c r="C99" cm="1">
        <f t="array" ref="C99">_xlfn.LET(_xlpm.n,ROWS(C$2:C99),_xlpm.block,QUOTIENT(_xlpm.n-1,10),_xlpm.pos,MOD(_xlpm.n-1,10),_xlpm.conceptRow,6+_xlpm.block*11,_xlpm.srcRow,_xlpm.conceptRow+_xlpm.pos,IF(INDEX(Curation!$A:$A,_xlpm.conceptRow)="","",INDEX(Curation!$E:$E,_xlpm.srcRow)))</f>
        <v>2</v>
      </c>
      <c r="D99" cm="1">
        <f t="array" ref="D99">_xlfn.LET(_xlpm.n,ROWS(D$2:D99),_xlpm.block,QUOTIENT(_xlpm.n-1,10),_xlpm.pos,MOD(_xlpm.n-1,10),_xlpm.conceptRow,6+_xlpm.block*11,_xlpm.srcRow,_xlpm.conceptRow+_xlpm.pos,IF(INDEX(Curation!$A:$A,_xlpm.conceptRow)="","",INDEX(Curation!$F:$F,_xlpm.srcRow)))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100" spans="1:4" x14ac:dyDescent="0.3">
      <c r="A100" t="str" cm="1">
        <f t="array" ref="A100">_xlfn.LET(_xlpm.n,ROWS(A$2:A100),_xlpm.block,QUOTIENT(_xlpm.n-1,10),_xlpm.conceptRow,6+_xlpm.block*11,IF(INDEX(Curation!$A:$A,_xlpm.conceptRow)="","",INDEX(Curation!$A:$A,_xlpm.conceptRow)))</f>
        <v>gomba</v>
      </c>
      <c r="B100" t="s">
        <v>480</v>
      </c>
      <c r="C100" cm="1">
        <f t="array" ref="C100">_xlfn.LET(_xlpm.n,ROWS(C$2:C100),_xlpm.block,QUOTIENT(_xlpm.n-1,10),_xlpm.pos,MOD(_xlpm.n-1,10),_xlpm.conceptRow,6+_xlpm.block*11,_xlpm.srcRow,_xlpm.conceptRow+_xlpm.pos,IF(INDEX(Curation!$A:$A,_xlpm.conceptRow)="","",INDEX(Curation!$E:$E,_xlpm.srcRow)))</f>
        <v>1</v>
      </c>
      <c r="D100" cm="1">
        <f t="array" ref="D100">_xlfn.LET(_xlpm.n,ROWS(D$2:D100),_xlpm.block,QUOTIENT(_xlpm.n-1,10),_xlpm.pos,MOD(_xlpm.n-1,10),_xlpm.conceptRow,6+_xlpm.block*11,_xlpm.srcRow,_xlpm.conceptRow+_xlpm.pos,IF(INDEX(Curation!$A:$A,_xlpm.conceptRow)="","",INDEX(Curation!$F:$F,_xlpm.srcRow)))</f>
        <v>0.16700000000000001</v>
      </c>
    </row>
    <row r="101" spans="1:4" x14ac:dyDescent="0.3">
      <c r="A101" t="str" cm="1">
        <f t="array" ref="A101">_xlfn.LET(_xlpm.n,ROWS(A$2:A101),_xlpm.block,QUOTIENT(_xlpm.n-1,10),_xlpm.conceptRow,6+_xlpm.block*11,IF(INDEX(Curation!$A:$A,_xlpm.conceptRow)="","",INDEX(Curation!$A:$A,_xlpm.conceptRow)))</f>
        <v>gomba</v>
      </c>
      <c r="B101" t="s">
        <v>481</v>
      </c>
      <c r="C101" cm="1">
        <f t="array" ref="C101">_xlfn.LET(_xlpm.n,ROWS(C$2:C101),_xlpm.block,QUOTIENT(_xlpm.n-1,10),_xlpm.pos,MOD(_xlpm.n-1,10),_xlpm.conceptRow,6+_xlpm.block*11,_xlpm.srcRow,_xlpm.conceptRow+_xlpm.pos,IF(INDEX(Curation!$A:$A,_xlpm.conceptRow)="","",INDEX(Curation!$E:$E,_xlpm.srcRow)))</f>
        <v>2</v>
      </c>
      <c r="D101" cm="1">
        <f t="array" ref="D101">_xlfn.LET(_xlpm.n,ROWS(D$2:D101),_xlpm.block,QUOTIENT(_xlpm.n-1,10),_xlpm.pos,MOD(_xlpm.n-1,10),_xlpm.conceptRow,6+_xlpm.block*11,_xlpm.srcRow,_xlpm.conceptRow+_xlpm.pos,IF(INDEX(Curation!$A:$A,_xlpm.conceptRow)="","",INDEX(Curation!$F:$F,_xlpm.srcRow)))</f>
        <v>9.0999999999999998E-2</v>
      </c>
    </row>
    <row r="102" spans="1:4" x14ac:dyDescent="0.3">
      <c r="A102" t="str" cm="1">
        <f t="array" ref="A102">_xlfn.LET(_xlpm.n,ROWS(A$2:A102),_xlpm.block,QUOTIENT(_xlpm.n-1,10),_xlpm.conceptRow,6+_xlpm.block*11,IF(INDEX(Curation!$A:$A,_xlpm.conceptRow)="","",INDEX(Curation!$A:$A,_xlpm.conceptRow)))</f>
        <v>gyerek</v>
      </c>
      <c r="B102" t="s">
        <v>472</v>
      </c>
      <c r="C102" cm="1">
        <f t="array" ref="C102">_xlfn.LET(_xlpm.n,ROWS(C$2:C102),_xlpm.block,QUOTIENT(_xlpm.n-1,10),_xlpm.pos,MOD(_xlpm.n-1,10),_xlpm.conceptRow,6+_xlpm.block*11,_xlpm.srcRow,_xlpm.conceptRow+_xlpm.pos,IF(INDEX(Curation!$A:$A,_xlpm.conceptRow)="","",INDEX(Curation!$E:$E,_xlpm.srcRow)))</f>
        <v>1</v>
      </c>
      <c r="D102" cm="1">
        <f t="array" ref="D102">_xlfn.LET(_xlpm.n,ROWS(D$2:D102),_xlpm.block,QUOTIENT(_xlpm.n-1,10),_xlpm.pos,MOD(_xlpm.n-1,10),_xlpm.conceptRow,6+_xlpm.block*11,_xlpm.srcRow,_xlpm.conceptRow+_xlpm.pos,IF(INDEX(Curation!$A:$A,_xlpm.conceptRow)="","",INDEX(Curation!$F:$F,_xlpm.srcRow)))</f>
        <v>0.16700000000000001</v>
      </c>
    </row>
    <row r="103" spans="1:4" x14ac:dyDescent="0.3">
      <c r="A103" t="str" cm="1">
        <f t="array" ref="A103">_xlfn.LET(_xlpm.n,ROWS(A$2:A103),_xlpm.block,QUOTIENT(_xlpm.n-1,10),_xlpm.conceptRow,6+_xlpm.block*11,IF(INDEX(Curation!$A:$A,_xlpm.conceptRow)="","",INDEX(Curation!$A:$A,_xlpm.conceptRow)))</f>
        <v>gyerek</v>
      </c>
      <c r="B103" t="s">
        <v>473</v>
      </c>
      <c r="C103" cm="1">
        <f t="array" ref="C103">_xlfn.LET(_xlpm.n,ROWS(C$2:C103),_xlpm.block,QUOTIENT(_xlpm.n-1,10),_xlpm.pos,MOD(_xlpm.n-1,10),_xlpm.conceptRow,6+_xlpm.block*11,_xlpm.srcRow,_xlpm.conceptRow+_xlpm.pos,IF(INDEX(Curation!$A:$A,_xlpm.conceptRow)="","",INDEX(Curation!$E:$E,_xlpm.srcRow)))</f>
        <v>9</v>
      </c>
      <c r="D103" cm="1">
        <f t="array" ref="D103">_xlfn.LET(_xlpm.n,ROWS(D$2:D103),_xlpm.block,QUOTIENT(_xlpm.n-1,10),_xlpm.pos,MOD(_xlpm.n-1,10),_xlpm.conceptRow,6+_xlpm.block*11,_xlpm.srcRow,_xlpm.conceptRow+_xlpm.pos,IF(INDEX(Curation!$A:$A,_xlpm.conceptRow)="","",INDEX(Curation!$F:$F,_xlpm.srcRow)))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04" spans="1:4" x14ac:dyDescent="0.3">
      <c r="A104" t="str" cm="1">
        <f t="array" ref="A104">_xlfn.LET(_xlpm.n,ROWS(A$2:A104),_xlpm.block,QUOTIENT(_xlpm.n-1,10),_xlpm.conceptRow,6+_xlpm.block*11,IF(INDEX(Curation!$A:$A,_xlpm.conceptRow)="","",INDEX(Curation!$A:$A,_xlpm.conceptRow)))</f>
        <v>gyerek</v>
      </c>
      <c r="B104" t="s">
        <v>474</v>
      </c>
      <c r="C104" cm="1">
        <f t="array" ref="C104">_xlfn.LET(_xlpm.n,ROWS(C$2:C104),_xlpm.block,QUOTIENT(_xlpm.n-1,10),_xlpm.pos,MOD(_xlpm.n-1,10),_xlpm.conceptRow,6+_xlpm.block*11,_xlpm.srcRow,_xlpm.conceptRow+_xlpm.pos,IF(INDEX(Curation!$A:$A,_xlpm.conceptRow)="","",INDEX(Curation!$E:$E,_xlpm.srcRow)))</f>
        <v>7</v>
      </c>
      <c r="D104" cm="1">
        <f t="array" ref="D104">_xlfn.LET(_xlpm.n,ROWS(D$2:D104),_xlpm.block,QUOTIENT(_xlpm.n-1,10),_xlpm.pos,MOD(_xlpm.n-1,10),_xlpm.conceptRow,6+_xlpm.block*11,_xlpm.srcRow,_xlpm.conceptRow+_xlpm.pos,IF(INDEX(Curation!$A:$A,_xlpm.conceptRow)="","",INDEX(Curation!$F:$F,_xlpm.srcRow)))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105" spans="1:4" x14ac:dyDescent="0.3">
      <c r="A105" t="str" cm="1">
        <f t="array" ref="A105">_xlfn.LET(_xlpm.n,ROWS(A$2:A105),_xlpm.block,QUOTIENT(_xlpm.n-1,10),_xlpm.conceptRow,6+_xlpm.block*11,IF(INDEX(Curation!$A:$A,_xlpm.conceptRow)="","",INDEX(Curation!$A:$A,_xlpm.conceptRow)))</f>
        <v>gyerek</v>
      </c>
      <c r="B105" t="s">
        <v>475</v>
      </c>
      <c r="C105" cm="1">
        <f t="array" ref="C105">_xlfn.LET(_xlpm.n,ROWS(C$2:C105),_xlpm.block,QUOTIENT(_xlpm.n-1,10),_xlpm.pos,MOD(_xlpm.n-1,10),_xlpm.conceptRow,6+_xlpm.block*11,_xlpm.srcRow,_xlpm.conceptRow+_xlpm.pos,IF(INDEX(Curation!$A:$A,_xlpm.conceptRow)="","",INDEX(Curation!$E:$E,_xlpm.srcRow)))</f>
        <v>7</v>
      </c>
      <c r="D105" cm="1">
        <f t="array" ref="D105">_xlfn.LET(_xlpm.n,ROWS(D$2:D105),_xlpm.block,QUOTIENT(_xlpm.n-1,10),_xlpm.pos,MOD(_xlpm.n-1,10),_xlpm.conceptRow,6+_xlpm.block*11,_xlpm.srcRow,_xlpm.conceptRow+_xlpm.pos,IF(INDEX(Curation!$A:$A,_xlpm.conceptRow)="","",INDEX(Curation!$F:$F,_xlpm.srcRow)))</f>
        <v>0.14299999999999999</v>
      </c>
    </row>
    <row r="106" spans="1:4" x14ac:dyDescent="0.3">
      <c r="A106" t="str" cm="1">
        <f t="array" ref="A106">_xlfn.LET(_xlpm.n,ROWS(A$2:A106),_xlpm.block,QUOTIENT(_xlpm.n-1,10),_xlpm.conceptRow,6+_xlpm.block*11,IF(INDEX(Curation!$A:$A,_xlpm.conceptRow)="","",INDEX(Curation!$A:$A,_xlpm.conceptRow)))</f>
        <v>gyerek</v>
      </c>
      <c r="B106" t="s">
        <v>476</v>
      </c>
      <c r="C106" cm="1">
        <f t="array" ref="C106">_xlfn.LET(_xlpm.n,ROWS(C$2:C106),_xlpm.block,QUOTIENT(_xlpm.n-1,10),_xlpm.pos,MOD(_xlpm.n-1,10),_xlpm.conceptRow,6+_xlpm.block*11,_xlpm.srcRow,_xlpm.conceptRow+_xlpm.pos,IF(INDEX(Curation!$A:$A,_xlpm.conceptRow)="","",INDEX(Curation!$E:$E,_xlpm.srcRow)))</f>
        <v>7</v>
      </c>
      <c r="D106" cm="1">
        <f t="array" ref="D106">_xlfn.LET(_xlpm.n,ROWS(D$2:D106),_xlpm.block,QUOTIENT(_xlpm.n-1,10),_xlpm.pos,MOD(_xlpm.n-1,10),_xlpm.conceptRow,6+_xlpm.block*11,_xlpm.srcRow,_xlpm.conceptRow+_xlpm.pos,IF(INDEX(Curation!$A:$A,_xlpm.conceptRow)="","",INDEX(Curation!$F:$F,_xlpm.srcRow)))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07" spans="1:4" x14ac:dyDescent="0.3">
      <c r="A107" t="str" cm="1">
        <f t="array" ref="A107">_xlfn.LET(_xlpm.n,ROWS(A$2:A107),_xlpm.block,QUOTIENT(_xlpm.n-1,10),_xlpm.conceptRow,6+_xlpm.block*11,IF(INDEX(Curation!$A:$A,_xlpm.conceptRow)="","",INDEX(Curation!$A:$A,_xlpm.conceptRow)))</f>
        <v>gyerek</v>
      </c>
      <c r="B107" t="s">
        <v>477</v>
      </c>
      <c r="C107" cm="1">
        <f t="array" ref="C107">_xlfn.LET(_xlpm.n,ROWS(C$2:C107),_xlpm.block,QUOTIENT(_xlpm.n-1,10),_xlpm.pos,MOD(_xlpm.n-1,10),_xlpm.conceptRow,6+_xlpm.block*11,_xlpm.srcRow,_xlpm.conceptRow+_xlpm.pos,IF(INDEX(Curation!$A:$A,_xlpm.conceptRow)="","",INDEX(Curation!$E:$E,_xlpm.srcRow)))</f>
        <v>10</v>
      </c>
      <c r="D107" cm="1">
        <f t="array" ref="D107">_xlfn.LET(_xlpm.n,ROWS(D$2:D107),_xlpm.block,QUOTIENT(_xlpm.n-1,10),_xlpm.pos,MOD(_xlpm.n-1,10),_xlpm.conceptRow,6+_xlpm.block*11,_xlpm.srcRow,_xlpm.conceptRow+_xlpm.pos,IF(INDEX(Curation!$A:$A,_xlpm.conceptRow)="","",INDEX(Curation!$F:$F,_xlpm.srcRow)))</f>
        <v>0.1</v>
      </c>
    </row>
    <row r="108" spans="1:4" x14ac:dyDescent="0.3">
      <c r="A108" t="str" cm="1">
        <f t="array" ref="A108">_xlfn.LET(_xlpm.n,ROWS(A$2:A108),_xlpm.block,QUOTIENT(_xlpm.n-1,10),_xlpm.conceptRow,6+_xlpm.block*11,IF(INDEX(Curation!$A:$A,_xlpm.conceptRow)="","",INDEX(Curation!$A:$A,_xlpm.conceptRow)))</f>
        <v>gyerek</v>
      </c>
      <c r="B108" t="s">
        <v>478</v>
      </c>
      <c r="C108" cm="1">
        <f t="array" ref="C108">_xlfn.LET(_xlpm.n,ROWS(C$2:C108),_xlpm.block,QUOTIENT(_xlpm.n-1,10),_xlpm.pos,MOD(_xlpm.n-1,10),_xlpm.conceptRow,6+_xlpm.block*11,_xlpm.srcRow,_xlpm.conceptRow+_xlpm.pos,IF(INDEX(Curation!$A:$A,_xlpm.conceptRow)="","",INDEX(Curation!$E:$E,_xlpm.srcRow)))</f>
        <v>1</v>
      </c>
      <c r="D108" cm="1">
        <f t="array" ref="D108">_xlfn.LET(_xlpm.n,ROWS(D$2:D108),_xlpm.block,QUOTIENT(_xlpm.n-1,10),_xlpm.pos,MOD(_xlpm.n-1,10),_xlpm.conceptRow,6+_xlpm.block*11,_xlpm.srcRow,_xlpm.conceptRow+_xlpm.pos,IF(INDEX(Curation!$A:$A,_xlpm.conceptRow)="","",INDEX(Curation!$F:$F,_xlpm.srcRow)))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109" spans="1:4" x14ac:dyDescent="0.3">
      <c r="A109" t="str" cm="1">
        <f t="array" ref="A109">_xlfn.LET(_xlpm.n,ROWS(A$2:A109),_xlpm.block,QUOTIENT(_xlpm.n-1,10),_xlpm.conceptRow,6+_xlpm.block*11,IF(INDEX(Curation!$A:$A,_xlpm.conceptRow)="","",INDEX(Curation!$A:$A,_xlpm.conceptRow)))</f>
        <v>gyerek</v>
      </c>
      <c r="B109" t="s">
        <v>479</v>
      </c>
      <c r="C109" cm="1">
        <f t="array" ref="C109">_xlfn.LET(_xlpm.n,ROWS(C$2:C109),_xlpm.block,QUOTIENT(_xlpm.n-1,10),_xlpm.pos,MOD(_xlpm.n-1,10),_xlpm.conceptRow,6+_xlpm.block*11,_xlpm.srcRow,_xlpm.conceptRow+_xlpm.pos,IF(INDEX(Curation!$A:$A,_xlpm.conceptRow)="","",INDEX(Curation!$E:$E,_xlpm.srcRow)))</f>
        <v>7</v>
      </c>
      <c r="D109" cm="1">
        <f t="array" ref="D109">_xlfn.LET(_xlpm.n,ROWS(D$2:D109),_xlpm.block,QUOTIENT(_xlpm.n-1,10),_xlpm.pos,MOD(_xlpm.n-1,10),_xlpm.conceptRow,6+_xlpm.block*11,_xlpm.srcRow,_xlpm.conceptRow+_xlpm.pos,IF(INDEX(Curation!$A:$A,_xlpm.conceptRow)="","",INDEX(Curation!$F:$F,_xlpm.srcRow)))</f>
        <v>0.14299999999999999</v>
      </c>
    </row>
    <row r="110" spans="1:4" x14ac:dyDescent="0.3">
      <c r="A110" t="str" cm="1">
        <f t="array" ref="A110">_xlfn.LET(_xlpm.n,ROWS(A$2:A110),_xlpm.block,QUOTIENT(_xlpm.n-1,10),_xlpm.conceptRow,6+_xlpm.block*11,IF(INDEX(Curation!$A:$A,_xlpm.conceptRow)="","",INDEX(Curation!$A:$A,_xlpm.conceptRow)))</f>
        <v>gyerek</v>
      </c>
      <c r="B110" t="s">
        <v>480</v>
      </c>
      <c r="C110" cm="1">
        <f t="array" ref="C110">_xlfn.LET(_xlpm.n,ROWS(C$2:C110),_xlpm.block,QUOTIENT(_xlpm.n-1,10),_xlpm.pos,MOD(_xlpm.n-1,10),_xlpm.conceptRow,6+_xlpm.block*11,_xlpm.srcRow,_xlpm.conceptRow+_xlpm.pos,IF(INDEX(Curation!$A:$A,_xlpm.conceptRow)="","",INDEX(Curation!$E:$E,_xlpm.srcRow)))</f>
        <v>7</v>
      </c>
      <c r="D110" cm="1">
        <f t="array" ref="D110">_xlfn.LET(_xlpm.n,ROWS(D$2:D110),_xlpm.block,QUOTIENT(_xlpm.n-1,10),_xlpm.pos,MOD(_xlpm.n-1,10),_xlpm.conceptRow,6+_xlpm.block*11,_xlpm.srcRow,_xlpm.conceptRow+_xlpm.pos,IF(INDEX(Curation!$A:$A,_xlpm.conceptRow)="","",INDEX(Curation!$F:$F,_xlpm.srcRow)))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111" spans="1:4" x14ac:dyDescent="0.3">
      <c r="A111" t="str" cm="1">
        <f t="array" ref="A111">_xlfn.LET(_xlpm.n,ROWS(A$2:A111),_xlpm.block,QUOTIENT(_xlpm.n-1,10),_xlpm.conceptRow,6+_xlpm.block*11,IF(INDEX(Curation!$A:$A,_xlpm.conceptRow)="","",INDEX(Curation!$A:$A,_xlpm.conceptRow)))</f>
        <v>gyerek</v>
      </c>
      <c r="B111" t="s">
        <v>481</v>
      </c>
      <c r="C111" cm="1">
        <f t="array" ref="C111">_xlfn.LET(_xlpm.n,ROWS(C$2:C111),_xlpm.block,QUOTIENT(_xlpm.n-1,10),_xlpm.pos,MOD(_xlpm.n-1,10),_xlpm.conceptRow,6+_xlpm.block*11,_xlpm.srcRow,_xlpm.conceptRow+_xlpm.pos,IF(INDEX(Curation!$A:$A,_xlpm.conceptRow)="","",INDEX(Curation!$E:$E,_xlpm.srcRow)))</f>
        <v>2</v>
      </c>
      <c r="D111" cm="1">
        <f t="array" ref="D111">_xlfn.LET(_xlpm.n,ROWS(D$2:D111),_xlpm.block,QUOTIENT(_xlpm.n-1,10),_xlpm.pos,MOD(_xlpm.n-1,10),_xlpm.conceptRow,6+_xlpm.block*11,_xlpm.srcRow,_xlpm.conceptRow+_xlpm.pos,IF(INDEX(Curation!$A:$A,_xlpm.conceptRow)="","",INDEX(Curation!$F:$F,_xlpm.srcRow)))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12" spans="1:4" x14ac:dyDescent="0.3">
      <c r="A112" t="str" cm="1">
        <f t="array" ref="A112">_xlfn.LET(_xlpm.n,ROWS(A$2:A112),_xlpm.block,QUOTIENT(_xlpm.n-1,10),_xlpm.conceptRow,6+_xlpm.block*11,IF(INDEX(Curation!$A:$A,_xlpm.conceptRow)="","",INDEX(Curation!$A:$A,_xlpm.conceptRow)))</f>
        <v>helikopter</v>
      </c>
      <c r="B112" t="s">
        <v>472</v>
      </c>
      <c r="C112" cm="1">
        <f t="array" ref="C112">_xlfn.LET(_xlpm.n,ROWS(C$2:C112),_xlpm.block,QUOTIENT(_xlpm.n-1,10),_xlpm.pos,MOD(_xlpm.n-1,10),_xlpm.conceptRow,6+_xlpm.block*11,_xlpm.srcRow,_xlpm.conceptRow+_xlpm.pos,IF(INDEX(Curation!$A:$A,_xlpm.conceptRow)="","",INDEX(Curation!$E:$E,_xlpm.srcRow)))</f>
        <v>3</v>
      </c>
      <c r="D112" cm="1">
        <f t="array" ref="D112">_xlfn.LET(_xlpm.n,ROWS(D$2:D112),_xlpm.block,QUOTIENT(_xlpm.n-1,10),_xlpm.pos,MOD(_xlpm.n-1,10),_xlpm.conceptRow,6+_xlpm.block*11,_xlpm.srcRow,_xlpm.conceptRow+_xlpm.pos,IF(INDEX(Curation!$A:$A,_xlpm.conceptRow)="","",INDEX(Curation!$F:$F,_xlpm.srcRow)))</f>
        <v>0.14299999999999999</v>
      </c>
    </row>
    <row r="113" spans="1:4" x14ac:dyDescent="0.3">
      <c r="A113" t="str" cm="1">
        <f t="array" ref="A113">_xlfn.LET(_xlpm.n,ROWS(A$2:A113),_xlpm.block,QUOTIENT(_xlpm.n-1,10),_xlpm.conceptRow,6+_xlpm.block*11,IF(INDEX(Curation!$A:$A,_xlpm.conceptRow)="","",INDEX(Curation!$A:$A,_xlpm.conceptRow)))</f>
        <v>helikopter</v>
      </c>
      <c r="B113" t="s">
        <v>473</v>
      </c>
      <c r="C113" cm="1">
        <f t="array" ref="C113">_xlfn.LET(_xlpm.n,ROWS(C$2:C113),_xlpm.block,QUOTIENT(_xlpm.n-1,10),_xlpm.pos,MOD(_xlpm.n-1,10),_xlpm.conceptRow,6+_xlpm.block*11,_xlpm.srcRow,_xlpm.conceptRow+_xlpm.pos,IF(INDEX(Curation!$A:$A,_xlpm.conceptRow)="","",INDEX(Curation!$E:$E,_xlpm.srcRow)))</f>
        <v>4</v>
      </c>
      <c r="D113" cm="1">
        <f t="array" ref="D113">_xlfn.LET(_xlpm.n,ROWS(D$2:D113),_xlpm.block,QUOTIENT(_xlpm.n-1,10),_xlpm.pos,MOD(_xlpm.n-1,10),_xlpm.conceptRow,6+_xlpm.block*11,_xlpm.srcRow,_xlpm.conceptRow+_xlpm.pos,IF(INDEX(Curation!$A:$A,_xlpm.conceptRow)="","",INDEX(Curation!$F:$F,_xlpm.srcRow)))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14" spans="1:4" x14ac:dyDescent="0.3">
      <c r="A114" t="str" cm="1">
        <f t="array" ref="A114">_xlfn.LET(_xlpm.n,ROWS(A$2:A114),_xlpm.block,QUOTIENT(_xlpm.n-1,10),_xlpm.conceptRow,6+_xlpm.block*11,IF(INDEX(Curation!$A:$A,_xlpm.conceptRow)="","",INDEX(Curation!$A:$A,_xlpm.conceptRow)))</f>
        <v>helikopter</v>
      </c>
      <c r="B114" t="s">
        <v>474</v>
      </c>
      <c r="C114" cm="1">
        <f t="array" ref="C114">_xlfn.LET(_xlpm.n,ROWS(C$2:C114),_xlpm.block,QUOTIENT(_xlpm.n-1,10),_xlpm.pos,MOD(_xlpm.n-1,10),_xlpm.conceptRow,6+_xlpm.block*11,_xlpm.srcRow,_xlpm.conceptRow+_xlpm.pos,IF(INDEX(Curation!$A:$A,_xlpm.conceptRow)="","",INDEX(Curation!$E:$E,_xlpm.srcRow)))</f>
        <v>1</v>
      </c>
      <c r="D114" cm="1">
        <f t="array" ref="D114">_xlfn.LET(_xlpm.n,ROWS(D$2:D114),_xlpm.block,QUOTIENT(_xlpm.n-1,10),_xlpm.pos,MOD(_xlpm.n-1,10),_xlpm.conceptRow,6+_xlpm.block*11,_xlpm.srcRow,_xlpm.conceptRow+_xlpm.pos,IF(INDEX(Curation!$A:$A,_xlpm.conceptRow)="","",INDEX(Curation!$F:$F,_xlpm.srcRow)))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15" spans="1:4" x14ac:dyDescent="0.3">
      <c r="A115" t="str" cm="1">
        <f t="array" ref="A115">_xlfn.LET(_xlpm.n,ROWS(A$2:A115),_xlpm.block,QUOTIENT(_xlpm.n-1,10),_xlpm.conceptRow,6+_xlpm.block*11,IF(INDEX(Curation!$A:$A,_xlpm.conceptRow)="","",INDEX(Curation!$A:$A,_xlpm.conceptRow)))</f>
        <v>helikopter</v>
      </c>
      <c r="B115" t="s">
        <v>475</v>
      </c>
      <c r="C115" cm="1">
        <f t="array" ref="C115">_xlfn.LET(_xlpm.n,ROWS(C$2:C115),_xlpm.block,QUOTIENT(_xlpm.n-1,10),_xlpm.pos,MOD(_xlpm.n-1,10),_xlpm.conceptRow,6+_xlpm.block*11,_xlpm.srcRow,_xlpm.conceptRow+_xlpm.pos,IF(INDEX(Curation!$A:$A,_xlpm.conceptRow)="","",INDEX(Curation!$E:$E,_xlpm.srcRow)))</f>
        <v>2</v>
      </c>
      <c r="D115" cm="1">
        <f t="array" ref="D115">_xlfn.LET(_xlpm.n,ROWS(D$2:D115),_xlpm.block,QUOTIENT(_xlpm.n-1,10),_xlpm.pos,MOD(_xlpm.n-1,10),_xlpm.conceptRow,6+_xlpm.block*11,_xlpm.srcRow,_xlpm.conceptRow+_xlpm.pos,IF(INDEX(Curation!$A:$A,_xlpm.conceptRow)="","",INDEX(Curation!$F:$F,_xlpm.srcRow)))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16" spans="1:4" x14ac:dyDescent="0.3">
      <c r="A116" t="str" cm="1">
        <f t="array" ref="A116">_xlfn.LET(_xlpm.n,ROWS(A$2:A116),_xlpm.block,QUOTIENT(_xlpm.n-1,10),_xlpm.conceptRow,6+_xlpm.block*11,IF(INDEX(Curation!$A:$A,_xlpm.conceptRow)="","",INDEX(Curation!$A:$A,_xlpm.conceptRow)))</f>
        <v>helikopter</v>
      </c>
      <c r="B116" t="s">
        <v>476</v>
      </c>
      <c r="C116" cm="1">
        <f t="array" ref="C116">_xlfn.LET(_xlpm.n,ROWS(C$2:C116),_xlpm.block,QUOTIENT(_xlpm.n-1,10),_xlpm.pos,MOD(_xlpm.n-1,10),_xlpm.conceptRow,6+_xlpm.block*11,_xlpm.srcRow,_xlpm.conceptRow+_xlpm.pos,IF(INDEX(Curation!$A:$A,_xlpm.conceptRow)="","",INDEX(Curation!$E:$E,_xlpm.srcRow)))</f>
        <v>5</v>
      </c>
      <c r="D116" cm="1">
        <f t="array" ref="D116">_xlfn.LET(_xlpm.n,ROWS(D$2:D116),_xlpm.block,QUOTIENT(_xlpm.n-1,10),_xlpm.pos,MOD(_xlpm.n-1,10),_xlpm.conceptRow,6+_xlpm.block*11,_xlpm.srcRow,_xlpm.conceptRow+_xlpm.pos,IF(INDEX(Curation!$A:$A,_xlpm.conceptRow)="","",INDEX(Curation!$F:$F,_xlpm.srcRow)))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117" spans="1:4" x14ac:dyDescent="0.3">
      <c r="A117" t="str" cm="1">
        <f t="array" ref="A117">_xlfn.LET(_xlpm.n,ROWS(A$2:A117),_xlpm.block,QUOTIENT(_xlpm.n-1,10),_xlpm.conceptRow,6+_xlpm.block*11,IF(INDEX(Curation!$A:$A,_xlpm.conceptRow)="","",INDEX(Curation!$A:$A,_xlpm.conceptRow)))</f>
        <v>helikopter</v>
      </c>
      <c r="B117" t="s">
        <v>477</v>
      </c>
      <c r="C117" cm="1">
        <f t="array" ref="C117">_xlfn.LET(_xlpm.n,ROWS(C$2:C117),_xlpm.block,QUOTIENT(_xlpm.n-1,10),_xlpm.pos,MOD(_xlpm.n-1,10),_xlpm.conceptRow,6+_xlpm.block*11,_xlpm.srcRow,_xlpm.conceptRow+_xlpm.pos,IF(INDEX(Curation!$A:$A,_xlpm.conceptRow)="","",INDEX(Curation!$E:$E,_xlpm.srcRow)))</f>
        <v>3</v>
      </c>
      <c r="D117" cm="1">
        <f t="array" ref="D117">_xlfn.LET(_xlpm.n,ROWS(D$2:D117),_xlpm.block,QUOTIENT(_xlpm.n-1,10),_xlpm.pos,MOD(_xlpm.n-1,10),_xlpm.conceptRow,6+_xlpm.block*11,_xlpm.srcRow,_xlpm.conceptRow+_xlpm.pos,IF(INDEX(Curation!$A:$A,_xlpm.conceptRow)="","",INDEX(Curation!$F:$F,_xlpm.srcRow)))</f>
        <v>0.05</v>
      </c>
    </row>
    <row r="118" spans="1:4" x14ac:dyDescent="0.3">
      <c r="A118" t="str" cm="1">
        <f t="array" ref="A118">_xlfn.LET(_xlpm.n,ROWS(A$2:A118),_xlpm.block,QUOTIENT(_xlpm.n-1,10),_xlpm.conceptRow,6+_xlpm.block*11,IF(INDEX(Curation!$A:$A,_xlpm.conceptRow)="","",INDEX(Curation!$A:$A,_xlpm.conceptRow)))</f>
        <v>helikopter</v>
      </c>
      <c r="B118" t="s">
        <v>478</v>
      </c>
      <c r="C118" cm="1">
        <f t="array" ref="C118">_xlfn.LET(_xlpm.n,ROWS(C$2:C118),_xlpm.block,QUOTIENT(_xlpm.n-1,10),_xlpm.pos,MOD(_xlpm.n-1,10),_xlpm.conceptRow,6+_xlpm.block*11,_xlpm.srcRow,_xlpm.conceptRow+_xlpm.pos,IF(INDEX(Curation!$A:$A,_xlpm.conceptRow)="","",INDEX(Curation!$E:$E,_xlpm.srcRow)))</f>
        <v>1</v>
      </c>
      <c r="D118" cm="1">
        <f t="array" ref="D118">_xlfn.LET(_xlpm.n,ROWS(D$2:D118),_xlpm.block,QUOTIENT(_xlpm.n-1,10),_xlpm.pos,MOD(_xlpm.n-1,10),_xlpm.conceptRow,6+_xlpm.block*11,_xlpm.srcRow,_xlpm.conceptRow+_xlpm.pos,IF(INDEX(Curation!$A:$A,_xlpm.conceptRow)="","",INDEX(Curation!$F:$F,_xlpm.srcRow)))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119" spans="1:4" x14ac:dyDescent="0.3">
      <c r="A119" t="str" cm="1">
        <f t="array" ref="A119">_xlfn.LET(_xlpm.n,ROWS(A$2:A119),_xlpm.block,QUOTIENT(_xlpm.n-1,10),_xlpm.conceptRow,6+_xlpm.block*11,IF(INDEX(Curation!$A:$A,_xlpm.conceptRow)="","",INDEX(Curation!$A:$A,_xlpm.conceptRow)))</f>
        <v>helikopter</v>
      </c>
      <c r="B119" t="s">
        <v>479</v>
      </c>
      <c r="C119" cm="1">
        <f t="array" ref="C119">_xlfn.LET(_xlpm.n,ROWS(C$2:C119),_xlpm.block,QUOTIENT(_xlpm.n-1,10),_xlpm.pos,MOD(_xlpm.n-1,10),_xlpm.conceptRow,6+_xlpm.block*11,_xlpm.srcRow,_xlpm.conceptRow+_xlpm.pos,IF(INDEX(Curation!$A:$A,_xlpm.conceptRow)="","",INDEX(Curation!$E:$E,_xlpm.srcRow)))</f>
        <v>13</v>
      </c>
      <c r="D119" cm="1">
        <f t="array" ref="D119">_xlfn.LET(_xlpm.n,ROWS(D$2:D119),_xlpm.block,QUOTIENT(_xlpm.n-1,10),_xlpm.pos,MOD(_xlpm.n-1,10),_xlpm.conceptRow,6+_xlpm.block*11,_xlpm.srcRow,_xlpm.conceptRow+_xlpm.pos,IF(INDEX(Curation!$A:$A,_xlpm.conceptRow)="","",INDEX(Curation!$F:$F,_xlpm.srcRow)))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120" spans="1:4" x14ac:dyDescent="0.3">
      <c r="A120" t="str" cm="1">
        <f t="array" ref="A120">_xlfn.LET(_xlpm.n,ROWS(A$2:A120),_xlpm.block,QUOTIENT(_xlpm.n-1,10),_xlpm.conceptRow,6+_xlpm.block*11,IF(INDEX(Curation!$A:$A,_xlpm.conceptRow)="","",INDEX(Curation!$A:$A,_xlpm.conceptRow)))</f>
        <v>helikopter</v>
      </c>
      <c r="B120" t="s">
        <v>480</v>
      </c>
      <c r="C120" cm="1">
        <f t="array" ref="C120">_xlfn.LET(_xlpm.n,ROWS(C$2:C120),_xlpm.block,QUOTIENT(_xlpm.n-1,10),_xlpm.pos,MOD(_xlpm.n-1,10),_xlpm.conceptRow,6+_xlpm.block*11,_xlpm.srcRow,_xlpm.conceptRow+_xlpm.pos,IF(INDEX(Curation!$A:$A,_xlpm.conceptRow)="","",INDEX(Curation!$E:$E,_xlpm.srcRow)))</f>
        <v>3</v>
      </c>
      <c r="D120" cm="1">
        <f t="array" ref="D120">_xlfn.LET(_xlpm.n,ROWS(D$2:D120),_xlpm.block,QUOTIENT(_xlpm.n-1,10),_xlpm.pos,MOD(_xlpm.n-1,10),_xlpm.conceptRow,6+_xlpm.block*11,_xlpm.srcRow,_xlpm.conceptRow+_xlpm.pos,IF(INDEX(Curation!$A:$A,_xlpm.conceptRow)="","",INDEX(Curation!$F:$F,_xlpm.srcRow)))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121" spans="1:4" x14ac:dyDescent="0.3">
      <c r="A121" t="str" cm="1">
        <f t="array" ref="A121">_xlfn.LET(_xlpm.n,ROWS(A$2:A121),_xlpm.block,QUOTIENT(_xlpm.n-1,10),_xlpm.conceptRow,6+_xlpm.block*11,IF(INDEX(Curation!$A:$A,_xlpm.conceptRow)="","",INDEX(Curation!$A:$A,_xlpm.conceptRow)))</f>
        <v>helikopter</v>
      </c>
      <c r="B121" t="s">
        <v>481</v>
      </c>
      <c r="C121" cm="1">
        <f t="array" ref="C121">_xlfn.LET(_xlpm.n,ROWS(C$2:C121),_xlpm.block,QUOTIENT(_xlpm.n-1,10),_xlpm.pos,MOD(_xlpm.n-1,10),_xlpm.conceptRow,6+_xlpm.block*11,_xlpm.srcRow,_xlpm.conceptRow+_xlpm.pos,IF(INDEX(Curation!$A:$A,_xlpm.conceptRow)="","",INDEX(Curation!$E:$E,_xlpm.srcRow)))</f>
        <v>1</v>
      </c>
      <c r="D121" cm="1">
        <f t="array" ref="D121">_xlfn.LET(_xlpm.n,ROWS(D$2:D121),_xlpm.block,QUOTIENT(_xlpm.n-1,10),_xlpm.pos,MOD(_xlpm.n-1,10),_xlpm.conceptRow,6+_xlpm.block*11,_xlpm.srcRow,_xlpm.conceptRow+_xlpm.pos,IF(INDEX(Curation!$A:$A,_xlpm.conceptRow)="","",INDEX(Curation!$F:$F,_xlpm.srcRow)))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122" spans="1:4" x14ac:dyDescent="0.3">
      <c r="A122" t="str" cm="1">
        <f t="array" ref="A122">_xlfn.LET(_xlpm.n,ROWS(A$2:A122),_xlpm.block,QUOTIENT(_xlpm.n-1,10),_xlpm.conceptRow,6+_xlpm.block*11,IF(INDEX(Curation!$A:$A,_xlpm.conceptRow)="","",INDEX(Curation!$A:$A,_xlpm.conceptRow)))</f>
        <v>hercegnő</v>
      </c>
      <c r="B122" t="s">
        <v>472</v>
      </c>
      <c r="C122" cm="1">
        <f t="array" ref="C122">_xlfn.LET(_xlpm.n,ROWS(C$2:C122),_xlpm.block,QUOTIENT(_xlpm.n-1,10),_xlpm.pos,MOD(_xlpm.n-1,10),_xlpm.conceptRow,6+_xlpm.block*11,_xlpm.srcRow,_xlpm.conceptRow+_xlpm.pos,IF(INDEX(Curation!$A:$A,_xlpm.conceptRow)="","",INDEX(Curation!$E:$E,_xlpm.srcRow)))</f>
        <v>3</v>
      </c>
      <c r="D122" cm="1">
        <f t="array" ref="D122">_xlfn.LET(_xlpm.n,ROWS(D$2:D122),_xlpm.block,QUOTIENT(_xlpm.n-1,10),_xlpm.pos,MOD(_xlpm.n-1,10),_xlpm.conceptRow,6+_xlpm.block*11,_xlpm.srcRow,_xlpm.conceptRow+_xlpm.pos,IF(INDEX(Curation!$A:$A,_xlpm.conceptRow)="","",INDEX(Curation!$F:$F,_xlpm.srcRow)))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123" spans="1:4" x14ac:dyDescent="0.3">
      <c r="A123" t="str" cm="1">
        <f t="array" ref="A123">_xlfn.LET(_xlpm.n,ROWS(A$2:A123),_xlpm.block,QUOTIENT(_xlpm.n-1,10),_xlpm.conceptRow,6+_xlpm.block*11,IF(INDEX(Curation!$A:$A,_xlpm.conceptRow)="","",INDEX(Curation!$A:$A,_xlpm.conceptRow)))</f>
        <v>hercegnő</v>
      </c>
      <c r="B123" t="s">
        <v>473</v>
      </c>
      <c r="C123" cm="1">
        <f t="array" ref="C123">_xlfn.LET(_xlpm.n,ROWS(C$2:C123),_xlpm.block,QUOTIENT(_xlpm.n-1,10),_xlpm.pos,MOD(_xlpm.n-1,10),_xlpm.conceptRow,6+_xlpm.block*11,_xlpm.srcRow,_xlpm.conceptRow+_xlpm.pos,IF(INDEX(Curation!$A:$A,_xlpm.conceptRow)="","",INDEX(Curation!$E:$E,_xlpm.srcRow)))</f>
        <v>1</v>
      </c>
      <c r="D123" cm="1">
        <f t="array" ref="D123">_xlfn.LET(_xlpm.n,ROWS(D$2:D123),_xlpm.block,QUOTIENT(_xlpm.n-1,10),_xlpm.pos,MOD(_xlpm.n-1,10),_xlpm.conceptRow,6+_xlpm.block*11,_xlpm.srcRow,_xlpm.conceptRow+_xlpm.pos,IF(INDEX(Curation!$A:$A,_xlpm.conceptRow)="","",INDEX(Curation!$F:$F,_xlpm.srcRow)))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124" spans="1:4" x14ac:dyDescent="0.3">
      <c r="A124" t="str" cm="1">
        <f t="array" ref="A124">_xlfn.LET(_xlpm.n,ROWS(A$2:A124),_xlpm.block,QUOTIENT(_xlpm.n-1,10),_xlpm.conceptRow,6+_xlpm.block*11,IF(INDEX(Curation!$A:$A,_xlpm.conceptRow)="","",INDEX(Curation!$A:$A,_xlpm.conceptRow)))</f>
        <v>hercegnő</v>
      </c>
      <c r="B124" t="s">
        <v>474</v>
      </c>
      <c r="C124" cm="1">
        <f t="array" ref="C124">_xlfn.LET(_xlpm.n,ROWS(C$2:C124),_xlpm.block,QUOTIENT(_xlpm.n-1,10),_xlpm.pos,MOD(_xlpm.n-1,10),_xlpm.conceptRow,6+_xlpm.block*11,_xlpm.srcRow,_xlpm.conceptRow+_xlpm.pos,IF(INDEX(Curation!$A:$A,_xlpm.conceptRow)="","",INDEX(Curation!$E:$E,_xlpm.srcRow)))</f>
        <v>1</v>
      </c>
      <c r="D124" cm="1">
        <f t="array" ref="D124">_xlfn.LET(_xlpm.n,ROWS(D$2:D124),_xlpm.block,QUOTIENT(_xlpm.n-1,10),_xlpm.pos,MOD(_xlpm.n-1,10),_xlpm.conceptRow,6+_xlpm.block*11,_xlpm.srcRow,_xlpm.conceptRow+_xlpm.pos,IF(INDEX(Curation!$A:$A,_xlpm.conceptRow)="","",INDEX(Curation!$F:$F,_xlpm.srcRow)))</f>
        <v>0.14299999999999999</v>
      </c>
    </row>
    <row r="125" spans="1:4" x14ac:dyDescent="0.3">
      <c r="A125" t="str" cm="1">
        <f t="array" ref="A125">_xlfn.LET(_xlpm.n,ROWS(A$2:A125),_xlpm.block,QUOTIENT(_xlpm.n-1,10),_xlpm.conceptRow,6+_xlpm.block*11,IF(INDEX(Curation!$A:$A,_xlpm.conceptRow)="","",INDEX(Curation!$A:$A,_xlpm.conceptRow)))</f>
        <v>hercegnő</v>
      </c>
      <c r="B125" t="s">
        <v>475</v>
      </c>
      <c r="C125" cm="1">
        <f t="array" ref="C125">_xlfn.LET(_xlpm.n,ROWS(C$2:C125),_xlpm.block,QUOTIENT(_xlpm.n-1,10),_xlpm.pos,MOD(_xlpm.n-1,10),_xlpm.conceptRow,6+_xlpm.block*11,_xlpm.srcRow,_xlpm.conceptRow+_xlpm.pos,IF(INDEX(Curation!$A:$A,_xlpm.conceptRow)="","",INDEX(Curation!$E:$E,_xlpm.srcRow)))</f>
        <v>1</v>
      </c>
      <c r="D125" cm="1">
        <f t="array" ref="D125">_xlfn.LET(_xlpm.n,ROWS(D$2:D125),_xlpm.block,QUOTIENT(_xlpm.n-1,10),_xlpm.pos,MOD(_xlpm.n-1,10),_xlpm.conceptRow,6+_xlpm.block*11,_xlpm.srcRow,_xlpm.conceptRow+_xlpm.pos,IF(INDEX(Curation!$A:$A,_xlpm.conceptRow)="","",INDEX(Curation!$F:$F,_xlpm.srcRow)))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26" spans="1:4" x14ac:dyDescent="0.3">
      <c r="A126" t="str" cm="1">
        <f t="array" ref="A126">_xlfn.LET(_xlpm.n,ROWS(A$2:A126),_xlpm.block,QUOTIENT(_xlpm.n-1,10),_xlpm.conceptRow,6+_xlpm.block*11,IF(INDEX(Curation!$A:$A,_xlpm.conceptRow)="","",INDEX(Curation!$A:$A,_xlpm.conceptRow)))</f>
        <v>hercegnő</v>
      </c>
      <c r="B126" t="s">
        <v>476</v>
      </c>
      <c r="C126" cm="1">
        <f t="array" ref="C126">_xlfn.LET(_xlpm.n,ROWS(C$2:C126),_xlpm.block,QUOTIENT(_xlpm.n-1,10),_xlpm.pos,MOD(_xlpm.n-1,10),_xlpm.conceptRow,6+_xlpm.block*11,_xlpm.srcRow,_xlpm.conceptRow+_xlpm.pos,IF(INDEX(Curation!$A:$A,_xlpm.conceptRow)="","",INDEX(Curation!$E:$E,_xlpm.srcRow)))</f>
        <v>9</v>
      </c>
      <c r="D126" cm="1">
        <f t="array" ref="D126">_xlfn.LET(_xlpm.n,ROWS(D$2:D126),_xlpm.block,QUOTIENT(_xlpm.n-1,10),_xlpm.pos,MOD(_xlpm.n-1,10),_xlpm.conceptRow,6+_xlpm.block*11,_xlpm.srcRow,_xlpm.conceptRow+_xlpm.pos,IF(INDEX(Curation!$A:$A,_xlpm.conceptRow)="","",INDEX(Curation!$F:$F,_xlpm.srcRow)))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27" spans="1:4" x14ac:dyDescent="0.3">
      <c r="A127" t="str" cm="1">
        <f t="array" ref="A127">_xlfn.LET(_xlpm.n,ROWS(A$2:A127),_xlpm.block,QUOTIENT(_xlpm.n-1,10),_xlpm.conceptRow,6+_xlpm.block*11,IF(INDEX(Curation!$A:$A,_xlpm.conceptRow)="","",INDEX(Curation!$A:$A,_xlpm.conceptRow)))</f>
        <v>hercegnő</v>
      </c>
      <c r="B127" t="s">
        <v>477</v>
      </c>
      <c r="C127" cm="1">
        <f t="array" ref="C127">_xlfn.LET(_xlpm.n,ROWS(C$2:C127),_xlpm.block,QUOTIENT(_xlpm.n-1,10),_xlpm.pos,MOD(_xlpm.n-1,10),_xlpm.conceptRow,6+_xlpm.block*11,_xlpm.srcRow,_xlpm.conceptRow+_xlpm.pos,IF(INDEX(Curation!$A:$A,_xlpm.conceptRow)="","",INDEX(Curation!$E:$E,_xlpm.srcRow)))</f>
        <v>1</v>
      </c>
      <c r="D127" cm="1">
        <f t="array" ref="D127">_xlfn.LET(_xlpm.n,ROWS(D$2:D127),_xlpm.block,QUOTIENT(_xlpm.n-1,10),_xlpm.pos,MOD(_xlpm.n-1,10),_xlpm.conceptRow,6+_xlpm.block*11,_xlpm.srcRow,_xlpm.conceptRow+_xlpm.pos,IF(INDEX(Curation!$A:$A,_xlpm.conceptRow)="","",INDEX(Curation!$F:$F,_xlpm.srcRow)))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28" spans="1:4" x14ac:dyDescent="0.3">
      <c r="A128" t="str" cm="1">
        <f t="array" ref="A128">_xlfn.LET(_xlpm.n,ROWS(A$2:A128),_xlpm.block,QUOTIENT(_xlpm.n-1,10),_xlpm.conceptRow,6+_xlpm.block*11,IF(INDEX(Curation!$A:$A,_xlpm.conceptRow)="","",INDEX(Curation!$A:$A,_xlpm.conceptRow)))</f>
        <v>hercegnő</v>
      </c>
      <c r="B128" t="s">
        <v>478</v>
      </c>
      <c r="C128" cm="1">
        <f t="array" ref="C128">_xlfn.LET(_xlpm.n,ROWS(C$2:C128),_xlpm.block,QUOTIENT(_xlpm.n-1,10),_xlpm.pos,MOD(_xlpm.n-1,10),_xlpm.conceptRow,6+_xlpm.block*11,_xlpm.srcRow,_xlpm.conceptRow+_xlpm.pos,IF(INDEX(Curation!$A:$A,_xlpm.conceptRow)="","",INDEX(Curation!$E:$E,_xlpm.srcRow)))</f>
        <v>1</v>
      </c>
      <c r="D128" cm="1">
        <f t="array" ref="D128">_xlfn.LET(_xlpm.n,ROWS(D$2:D128),_xlpm.block,QUOTIENT(_xlpm.n-1,10),_xlpm.pos,MOD(_xlpm.n-1,10),_xlpm.conceptRow,6+_xlpm.block*11,_xlpm.srcRow,_xlpm.conceptRow+_xlpm.pos,IF(INDEX(Curation!$A:$A,_xlpm.conceptRow)="","",INDEX(Curation!$F:$F,_xlpm.srcRow)))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129" spans="1:4" x14ac:dyDescent="0.3">
      <c r="A129" t="str" cm="1">
        <f t="array" ref="A129">_xlfn.LET(_xlpm.n,ROWS(A$2:A129),_xlpm.block,QUOTIENT(_xlpm.n-1,10),_xlpm.conceptRow,6+_xlpm.block*11,IF(INDEX(Curation!$A:$A,_xlpm.conceptRow)="","",INDEX(Curation!$A:$A,_xlpm.conceptRow)))</f>
        <v>hercegnő</v>
      </c>
      <c r="B129" t="s">
        <v>479</v>
      </c>
      <c r="C129" cm="1">
        <f t="array" ref="C129">_xlfn.LET(_xlpm.n,ROWS(C$2:C129),_xlpm.block,QUOTIENT(_xlpm.n-1,10),_xlpm.pos,MOD(_xlpm.n-1,10),_xlpm.conceptRow,6+_xlpm.block*11,_xlpm.srcRow,_xlpm.conceptRow+_xlpm.pos,IF(INDEX(Curation!$A:$A,_xlpm.conceptRow)="","",INDEX(Curation!$E:$E,_xlpm.srcRow)))</f>
        <v>1</v>
      </c>
      <c r="D129" cm="1">
        <f t="array" ref="D129">_xlfn.LET(_xlpm.n,ROWS(D$2:D129),_xlpm.block,QUOTIENT(_xlpm.n-1,10),_xlpm.pos,MOD(_xlpm.n-1,10),_xlpm.conceptRow,6+_xlpm.block*11,_xlpm.srcRow,_xlpm.conceptRow+_xlpm.pos,IF(INDEX(Curation!$A:$A,_xlpm.conceptRow)="","",INDEX(Curation!$F:$F,_xlpm.srcRow)))</f>
        <v>0.16700000000000001</v>
      </c>
    </row>
    <row r="130" spans="1:4" x14ac:dyDescent="0.3">
      <c r="A130" t="str" cm="1">
        <f t="array" ref="A130">_xlfn.LET(_xlpm.n,ROWS(A$2:A130),_xlpm.block,QUOTIENT(_xlpm.n-1,10),_xlpm.conceptRow,6+_xlpm.block*11,IF(INDEX(Curation!$A:$A,_xlpm.conceptRow)="","",INDEX(Curation!$A:$A,_xlpm.conceptRow)))</f>
        <v>hercegnő</v>
      </c>
      <c r="B130" t="s">
        <v>480</v>
      </c>
      <c r="C130" cm="1">
        <f t="array" ref="C130">_xlfn.LET(_xlpm.n,ROWS(C$2:C130),_xlpm.block,QUOTIENT(_xlpm.n-1,10),_xlpm.pos,MOD(_xlpm.n-1,10),_xlpm.conceptRow,6+_xlpm.block*11,_xlpm.srcRow,_xlpm.conceptRow+_xlpm.pos,IF(INDEX(Curation!$A:$A,_xlpm.conceptRow)="","",INDEX(Curation!$E:$E,_xlpm.srcRow)))</f>
        <v>3</v>
      </c>
      <c r="D130" cm="1">
        <f t="array" ref="D130">_xlfn.LET(_xlpm.n,ROWS(D$2:D130),_xlpm.block,QUOTIENT(_xlpm.n-1,10),_xlpm.pos,MOD(_xlpm.n-1,10),_xlpm.conceptRow,6+_xlpm.block*11,_xlpm.srcRow,_xlpm.conceptRow+_xlpm.pos,IF(INDEX(Curation!$A:$A,_xlpm.conceptRow)="","",INDEX(Curation!$F:$F,_xlpm.srcRow)))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31" spans="1:4" x14ac:dyDescent="0.3">
      <c r="A131" t="str" cm="1">
        <f t="array" ref="A131">_xlfn.LET(_xlpm.n,ROWS(A$2:A131),_xlpm.block,QUOTIENT(_xlpm.n-1,10),_xlpm.conceptRow,6+_xlpm.block*11,IF(INDEX(Curation!$A:$A,_xlpm.conceptRow)="","",INDEX(Curation!$A:$A,_xlpm.conceptRow)))</f>
        <v>hercegnő</v>
      </c>
      <c r="B131" t="s">
        <v>481</v>
      </c>
      <c r="C131" cm="1">
        <f t="array" ref="C131">_xlfn.LET(_xlpm.n,ROWS(C$2:C131),_xlpm.block,QUOTIENT(_xlpm.n-1,10),_xlpm.pos,MOD(_xlpm.n-1,10),_xlpm.conceptRow,6+_xlpm.block*11,_xlpm.srcRow,_xlpm.conceptRow+_xlpm.pos,IF(INDEX(Curation!$A:$A,_xlpm.conceptRow)="","",INDEX(Curation!$E:$E,_xlpm.srcRow)))</f>
        <v>3</v>
      </c>
      <c r="D131" cm="1">
        <f t="array" ref="D131">_xlfn.LET(_xlpm.n,ROWS(D$2:D131),_xlpm.block,QUOTIENT(_xlpm.n-1,10),_xlpm.pos,MOD(_xlpm.n-1,10),_xlpm.conceptRow,6+_xlpm.block*11,_xlpm.srcRow,_xlpm.conceptRow+_xlpm.pos,IF(INDEX(Curation!$A:$A,_xlpm.conceptRow)="","",INDEX(Curation!$F:$F,_xlpm.srcRow)))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32" spans="1:4" x14ac:dyDescent="0.3">
      <c r="A132" t="str" cm="1">
        <f t="array" ref="A132">_xlfn.LET(_xlpm.n,ROWS(A$2:A132),_xlpm.block,QUOTIENT(_xlpm.n-1,10),_xlpm.conceptRow,6+_xlpm.block*11,IF(INDEX(Curation!$A:$A,_xlpm.conceptRow)="","",INDEX(Curation!$A:$A,_xlpm.conceptRow)))</f>
        <v>játszótér</v>
      </c>
      <c r="B132" t="s">
        <v>472</v>
      </c>
      <c r="C132" cm="1">
        <f t="array" ref="C132">_xlfn.LET(_xlpm.n,ROWS(C$2:C132),_xlpm.block,QUOTIENT(_xlpm.n-1,10),_xlpm.pos,MOD(_xlpm.n-1,10),_xlpm.conceptRow,6+_xlpm.block*11,_xlpm.srcRow,_xlpm.conceptRow+_xlpm.pos,IF(INDEX(Curation!$A:$A,_xlpm.conceptRow)="","",INDEX(Curation!$E:$E,_xlpm.srcRow)))</f>
        <v>2</v>
      </c>
      <c r="D132" cm="1">
        <f t="array" ref="D132">_xlfn.LET(_xlpm.n,ROWS(D$2:D132),_xlpm.block,QUOTIENT(_xlpm.n-1,10),_xlpm.pos,MOD(_xlpm.n-1,10),_xlpm.conceptRow,6+_xlpm.block*11,_xlpm.srcRow,_xlpm.conceptRow+_xlpm.pos,IF(INDEX(Curation!$A:$A,_xlpm.conceptRow)="","",INDEX(Curation!$F:$F,_xlpm.srcRow)))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33" spans="1:4" x14ac:dyDescent="0.3">
      <c r="A133" t="str" cm="1">
        <f t="array" ref="A133">_xlfn.LET(_xlpm.n,ROWS(A$2:A133),_xlpm.block,QUOTIENT(_xlpm.n-1,10),_xlpm.conceptRow,6+_xlpm.block*11,IF(INDEX(Curation!$A:$A,_xlpm.conceptRow)="","",INDEX(Curation!$A:$A,_xlpm.conceptRow)))</f>
        <v>játszótér</v>
      </c>
      <c r="B133" t="s">
        <v>473</v>
      </c>
      <c r="C133" cm="1">
        <f t="array" ref="C133">_xlfn.LET(_xlpm.n,ROWS(C$2:C133),_xlpm.block,QUOTIENT(_xlpm.n-1,10),_xlpm.pos,MOD(_xlpm.n-1,10),_xlpm.conceptRow,6+_xlpm.block*11,_xlpm.srcRow,_xlpm.conceptRow+_xlpm.pos,IF(INDEX(Curation!$A:$A,_xlpm.conceptRow)="","",INDEX(Curation!$E:$E,_xlpm.srcRow)))</f>
        <v>8</v>
      </c>
      <c r="D133" cm="1">
        <f t="array" ref="D133">_xlfn.LET(_xlpm.n,ROWS(D$2:D133),_xlpm.block,QUOTIENT(_xlpm.n-1,10),_xlpm.pos,MOD(_xlpm.n-1,10),_xlpm.conceptRow,6+_xlpm.block*11,_xlpm.srcRow,_xlpm.conceptRow+_xlpm.pos,IF(INDEX(Curation!$A:$A,_xlpm.conceptRow)="","",INDEX(Curation!$F:$F,_xlpm.srcRow)))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34" spans="1:4" x14ac:dyDescent="0.3">
      <c r="A134" t="str" cm="1">
        <f t="array" ref="A134">_xlfn.LET(_xlpm.n,ROWS(A$2:A134),_xlpm.block,QUOTIENT(_xlpm.n-1,10),_xlpm.conceptRow,6+_xlpm.block*11,IF(INDEX(Curation!$A:$A,_xlpm.conceptRow)="","",INDEX(Curation!$A:$A,_xlpm.conceptRow)))</f>
        <v>játszótér</v>
      </c>
      <c r="B134" t="s">
        <v>474</v>
      </c>
      <c r="C134" cm="1">
        <f t="array" ref="C134">_xlfn.LET(_xlpm.n,ROWS(C$2:C134),_xlpm.block,QUOTIENT(_xlpm.n-1,10),_xlpm.pos,MOD(_xlpm.n-1,10),_xlpm.conceptRow,6+_xlpm.block*11,_xlpm.srcRow,_xlpm.conceptRow+_xlpm.pos,IF(INDEX(Curation!$A:$A,_xlpm.conceptRow)="","",INDEX(Curation!$E:$E,_xlpm.srcRow)))</f>
        <v>2</v>
      </c>
      <c r="D134" cm="1">
        <f t="array" ref="D134">_xlfn.LET(_xlpm.n,ROWS(D$2:D134),_xlpm.block,QUOTIENT(_xlpm.n-1,10),_xlpm.pos,MOD(_xlpm.n-1,10),_xlpm.conceptRow,6+_xlpm.block*11,_xlpm.srcRow,_xlpm.conceptRow+_xlpm.pos,IF(INDEX(Curation!$A:$A,_xlpm.conceptRow)="","",INDEX(Curation!$F:$F,_xlpm.srcRow)))</f>
        <v>0.05</v>
      </c>
    </row>
    <row r="135" spans="1:4" x14ac:dyDescent="0.3">
      <c r="A135" t="str" cm="1">
        <f t="array" ref="A135">_xlfn.LET(_xlpm.n,ROWS(A$2:A135),_xlpm.block,QUOTIENT(_xlpm.n-1,10),_xlpm.conceptRow,6+_xlpm.block*11,IF(INDEX(Curation!$A:$A,_xlpm.conceptRow)="","",INDEX(Curation!$A:$A,_xlpm.conceptRow)))</f>
        <v>játszótér</v>
      </c>
      <c r="B135" t="s">
        <v>475</v>
      </c>
      <c r="C135" cm="1">
        <f t="array" ref="C135">_xlfn.LET(_xlpm.n,ROWS(C$2:C135),_xlpm.block,QUOTIENT(_xlpm.n-1,10),_xlpm.pos,MOD(_xlpm.n-1,10),_xlpm.conceptRow,6+_xlpm.block*11,_xlpm.srcRow,_xlpm.conceptRow+_xlpm.pos,IF(INDEX(Curation!$A:$A,_xlpm.conceptRow)="","",INDEX(Curation!$E:$E,_xlpm.srcRow)))</f>
        <v>17</v>
      </c>
      <c r="D135" cm="1">
        <f t="array" ref="D135">_xlfn.LET(_xlpm.n,ROWS(D$2:D135),_xlpm.block,QUOTIENT(_xlpm.n-1,10),_xlpm.pos,MOD(_xlpm.n-1,10),_xlpm.conceptRow,6+_xlpm.block*11,_xlpm.srcRow,_xlpm.conceptRow+_xlpm.pos,IF(INDEX(Curation!$A:$A,_xlpm.conceptRow)="","",INDEX(Curation!$F:$F,_xlpm.srcRow)))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36" spans="1:4" x14ac:dyDescent="0.3">
      <c r="A136" t="str" cm="1">
        <f t="array" ref="A136">_xlfn.LET(_xlpm.n,ROWS(A$2:A136),_xlpm.block,QUOTIENT(_xlpm.n-1,10),_xlpm.conceptRow,6+_xlpm.block*11,IF(INDEX(Curation!$A:$A,_xlpm.conceptRow)="","",INDEX(Curation!$A:$A,_xlpm.conceptRow)))</f>
        <v>játszótér</v>
      </c>
      <c r="B136" t="s">
        <v>476</v>
      </c>
      <c r="C136" cm="1">
        <f t="array" ref="C136">_xlfn.LET(_xlpm.n,ROWS(C$2:C136),_xlpm.block,QUOTIENT(_xlpm.n-1,10),_xlpm.pos,MOD(_xlpm.n-1,10),_xlpm.conceptRow,6+_xlpm.block*11,_xlpm.srcRow,_xlpm.conceptRow+_xlpm.pos,IF(INDEX(Curation!$A:$A,_xlpm.conceptRow)="","",INDEX(Curation!$E:$E,_xlpm.srcRow)))</f>
        <v>1</v>
      </c>
      <c r="D136" cm="1">
        <f t="array" ref="D136">_xlfn.LET(_xlpm.n,ROWS(D$2:D136),_xlpm.block,QUOTIENT(_xlpm.n-1,10),_xlpm.pos,MOD(_xlpm.n-1,10),_xlpm.conceptRow,6+_xlpm.block*11,_xlpm.srcRow,_xlpm.conceptRow+_xlpm.pos,IF(INDEX(Curation!$A:$A,_xlpm.conceptRow)="","",INDEX(Curation!$F:$F,_xlpm.srcRow)))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37" spans="1:4" x14ac:dyDescent="0.3">
      <c r="A137" t="str" cm="1">
        <f t="array" ref="A137">_xlfn.LET(_xlpm.n,ROWS(A$2:A137),_xlpm.block,QUOTIENT(_xlpm.n-1,10),_xlpm.conceptRow,6+_xlpm.block*11,IF(INDEX(Curation!$A:$A,_xlpm.conceptRow)="","",INDEX(Curation!$A:$A,_xlpm.conceptRow)))</f>
        <v>játszótér</v>
      </c>
      <c r="B137" t="s">
        <v>477</v>
      </c>
      <c r="C137" cm="1">
        <f t="array" ref="C137">_xlfn.LET(_xlpm.n,ROWS(C$2:C137),_xlpm.block,QUOTIENT(_xlpm.n-1,10),_xlpm.pos,MOD(_xlpm.n-1,10),_xlpm.conceptRow,6+_xlpm.block*11,_xlpm.srcRow,_xlpm.conceptRow+_xlpm.pos,IF(INDEX(Curation!$A:$A,_xlpm.conceptRow)="","",INDEX(Curation!$E:$E,_xlpm.srcRow)))</f>
        <v>1</v>
      </c>
      <c r="D137" cm="1">
        <f t="array" ref="D137">_xlfn.LET(_xlpm.n,ROWS(D$2:D137),_xlpm.block,QUOTIENT(_xlpm.n-1,10),_xlpm.pos,MOD(_xlpm.n-1,10),_xlpm.conceptRow,6+_xlpm.block*11,_xlpm.srcRow,_xlpm.conceptRow+_xlpm.pos,IF(INDEX(Curation!$A:$A,_xlpm.conceptRow)="","",INDEX(Curation!$F:$F,_xlpm.srcRow)))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138" spans="1:4" x14ac:dyDescent="0.3">
      <c r="A138" t="str" cm="1">
        <f t="array" ref="A138">_xlfn.LET(_xlpm.n,ROWS(A$2:A138),_xlpm.block,QUOTIENT(_xlpm.n-1,10),_xlpm.conceptRow,6+_xlpm.block*11,IF(INDEX(Curation!$A:$A,_xlpm.conceptRow)="","",INDEX(Curation!$A:$A,_xlpm.conceptRow)))</f>
        <v>játszótér</v>
      </c>
      <c r="B138" t="s">
        <v>478</v>
      </c>
      <c r="C138" cm="1">
        <f t="array" ref="C138">_xlfn.LET(_xlpm.n,ROWS(C$2:C138),_xlpm.block,QUOTIENT(_xlpm.n-1,10),_xlpm.pos,MOD(_xlpm.n-1,10),_xlpm.conceptRow,6+_xlpm.block*11,_xlpm.srcRow,_xlpm.conceptRow+_xlpm.pos,IF(INDEX(Curation!$A:$A,_xlpm.conceptRow)="","",INDEX(Curation!$E:$E,_xlpm.srcRow)))</f>
        <v>1</v>
      </c>
      <c r="D138" cm="1">
        <f t="array" ref="D138">_xlfn.LET(_xlpm.n,ROWS(D$2:D138),_xlpm.block,QUOTIENT(_xlpm.n-1,10),_xlpm.pos,MOD(_xlpm.n-1,10),_xlpm.conceptRow,6+_xlpm.block*11,_xlpm.srcRow,_xlpm.conceptRow+_xlpm.pos,IF(INDEX(Curation!$A:$A,_xlpm.conceptRow)="","",INDEX(Curation!$F:$F,_xlpm.srcRow)))</f>
        <v>0.14299999999999999</v>
      </c>
    </row>
    <row r="139" spans="1:4" x14ac:dyDescent="0.3">
      <c r="A139" t="str" cm="1">
        <f t="array" ref="A139">_xlfn.LET(_xlpm.n,ROWS(A$2:A139),_xlpm.block,QUOTIENT(_xlpm.n-1,10),_xlpm.conceptRow,6+_xlpm.block*11,IF(INDEX(Curation!$A:$A,_xlpm.conceptRow)="","",INDEX(Curation!$A:$A,_xlpm.conceptRow)))</f>
        <v>játszótér</v>
      </c>
      <c r="B139" t="s">
        <v>479</v>
      </c>
      <c r="C139" cm="1">
        <f t="array" ref="C139">_xlfn.LET(_xlpm.n,ROWS(C$2:C139),_xlpm.block,QUOTIENT(_xlpm.n-1,10),_xlpm.pos,MOD(_xlpm.n-1,10),_xlpm.conceptRow,6+_xlpm.block*11,_xlpm.srcRow,_xlpm.conceptRow+_xlpm.pos,IF(INDEX(Curation!$A:$A,_xlpm.conceptRow)="","",INDEX(Curation!$E:$E,_xlpm.srcRow)))</f>
        <v>2</v>
      </c>
      <c r="D139" cm="1">
        <f t="array" ref="D139">_xlfn.LET(_xlpm.n,ROWS(D$2:D139),_xlpm.block,QUOTIENT(_xlpm.n-1,10),_xlpm.pos,MOD(_xlpm.n-1,10),_xlpm.conceptRow,6+_xlpm.block*11,_xlpm.srcRow,_xlpm.conceptRow+_xlpm.pos,IF(INDEX(Curation!$A:$A,_xlpm.conceptRow)="","",INDEX(Curation!$F:$F,_xlpm.srcRow)))</f>
        <v>0.16700000000000001</v>
      </c>
    </row>
    <row r="140" spans="1:4" x14ac:dyDescent="0.3">
      <c r="A140" t="str" cm="1">
        <f t="array" ref="A140">_xlfn.LET(_xlpm.n,ROWS(A$2:A140),_xlpm.block,QUOTIENT(_xlpm.n-1,10),_xlpm.conceptRow,6+_xlpm.block*11,IF(INDEX(Curation!$A:$A,_xlpm.conceptRow)="","",INDEX(Curation!$A:$A,_xlpm.conceptRow)))</f>
        <v>játszótér</v>
      </c>
      <c r="B140" t="s">
        <v>480</v>
      </c>
      <c r="C140" cm="1">
        <f t="array" ref="C140">_xlfn.LET(_xlpm.n,ROWS(C$2:C140),_xlpm.block,QUOTIENT(_xlpm.n-1,10),_xlpm.pos,MOD(_xlpm.n-1,10),_xlpm.conceptRow,6+_xlpm.block*11,_xlpm.srcRow,_xlpm.conceptRow+_xlpm.pos,IF(INDEX(Curation!$A:$A,_xlpm.conceptRow)="","",INDEX(Curation!$E:$E,_xlpm.srcRow)))</f>
        <v>1</v>
      </c>
      <c r="D140" cm="1">
        <f t="array" ref="D140">_xlfn.LET(_xlpm.n,ROWS(D$2:D140),_xlpm.block,QUOTIENT(_xlpm.n-1,10),_xlpm.pos,MOD(_xlpm.n-1,10),_xlpm.conceptRow,6+_xlpm.block*11,_xlpm.srcRow,_xlpm.conceptRow+_xlpm.pos,IF(INDEX(Curation!$A:$A,_xlpm.conceptRow)="","",INDEX(Curation!$F:$F,_xlpm.srcRow)))</f>
        <v>0.111</v>
      </c>
    </row>
    <row r="141" spans="1:4" x14ac:dyDescent="0.3">
      <c r="A141" t="str" cm="1">
        <f t="array" ref="A141">_xlfn.LET(_xlpm.n,ROWS(A$2:A141),_xlpm.block,QUOTIENT(_xlpm.n-1,10),_xlpm.conceptRow,6+_xlpm.block*11,IF(INDEX(Curation!$A:$A,_xlpm.conceptRow)="","",INDEX(Curation!$A:$A,_xlpm.conceptRow)))</f>
        <v>játszótér</v>
      </c>
      <c r="B141" t="s">
        <v>481</v>
      </c>
      <c r="C141" cm="1">
        <f t="array" ref="C141">_xlfn.LET(_xlpm.n,ROWS(C$2:C141),_xlpm.block,QUOTIENT(_xlpm.n-1,10),_xlpm.pos,MOD(_xlpm.n-1,10),_xlpm.conceptRow,6+_xlpm.block*11,_xlpm.srcRow,_xlpm.conceptRow+_xlpm.pos,IF(INDEX(Curation!$A:$A,_xlpm.conceptRow)="","",INDEX(Curation!$E:$E,_xlpm.srcRow)))</f>
        <v>9</v>
      </c>
      <c r="D141" cm="1">
        <f t="array" ref="D141">_xlfn.LET(_xlpm.n,ROWS(D$2:D141),_xlpm.block,QUOTIENT(_xlpm.n-1,10),_xlpm.pos,MOD(_xlpm.n-1,10),_xlpm.conceptRow,6+_xlpm.block*11,_xlpm.srcRow,_xlpm.conceptRow+_xlpm.pos,IF(INDEX(Curation!$A:$A,_xlpm.conceptRow)="","",INDEX(Curation!$F:$F,_xlpm.srcRow)))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42" spans="1:4" x14ac:dyDescent="0.3">
      <c r="A142" t="str" cm="1">
        <f t="array" ref="A142">_xlfn.LET(_xlpm.n,ROWS(A$2:A142),_xlpm.block,QUOTIENT(_xlpm.n-1,10),_xlpm.conceptRow,6+_xlpm.block*11,IF(INDEX(Curation!$A:$A,_xlpm.conceptRow)="","",INDEX(Curation!$A:$A,_xlpm.conceptRow)))</f>
        <v>kacsa</v>
      </c>
      <c r="B142" t="s">
        <v>472</v>
      </c>
      <c r="C142" cm="1">
        <f t="array" ref="C142">_xlfn.LET(_xlpm.n,ROWS(C$2:C142),_xlpm.block,QUOTIENT(_xlpm.n-1,10),_xlpm.pos,MOD(_xlpm.n-1,10),_xlpm.conceptRow,6+_xlpm.block*11,_xlpm.srcRow,_xlpm.conceptRow+_xlpm.pos,IF(INDEX(Curation!$A:$A,_xlpm.conceptRow)="","",INDEX(Curation!$E:$E,_xlpm.srcRow)))</f>
        <v>3</v>
      </c>
      <c r="D142" cm="1">
        <f t="array" ref="D142">_xlfn.LET(_xlpm.n,ROWS(D$2:D142),_xlpm.block,QUOTIENT(_xlpm.n-1,10),_xlpm.pos,MOD(_xlpm.n-1,10),_xlpm.conceptRow,6+_xlpm.block*11,_xlpm.srcRow,_xlpm.conceptRow+_xlpm.pos,IF(INDEX(Curation!$A:$A,_xlpm.conceptRow)="","",INDEX(Curation!$F:$F,_xlpm.srcRow)))</f>
        <v>0.16700000000000001</v>
      </c>
    </row>
    <row r="143" spans="1:4" x14ac:dyDescent="0.3">
      <c r="A143" t="str" cm="1">
        <f t="array" ref="A143">_xlfn.LET(_xlpm.n,ROWS(A$2:A143),_xlpm.block,QUOTIENT(_xlpm.n-1,10),_xlpm.conceptRow,6+_xlpm.block*11,IF(INDEX(Curation!$A:$A,_xlpm.conceptRow)="","",INDEX(Curation!$A:$A,_xlpm.conceptRow)))</f>
        <v>kacsa</v>
      </c>
      <c r="B143" t="s">
        <v>473</v>
      </c>
      <c r="C143" cm="1">
        <f t="array" ref="C143">_xlfn.LET(_xlpm.n,ROWS(C$2:C143),_xlpm.block,QUOTIENT(_xlpm.n-1,10),_xlpm.pos,MOD(_xlpm.n-1,10),_xlpm.conceptRow,6+_xlpm.block*11,_xlpm.srcRow,_xlpm.conceptRow+_xlpm.pos,IF(INDEX(Curation!$A:$A,_xlpm.conceptRow)="","",INDEX(Curation!$E:$E,_xlpm.srcRow)))</f>
        <v>1</v>
      </c>
      <c r="D143" cm="1">
        <f t="array" ref="D143">_xlfn.LET(_xlpm.n,ROWS(D$2:D143),_xlpm.block,QUOTIENT(_xlpm.n-1,10),_xlpm.pos,MOD(_xlpm.n-1,10),_xlpm.conceptRow,6+_xlpm.block*11,_xlpm.srcRow,_xlpm.conceptRow+_xlpm.pos,IF(INDEX(Curation!$A:$A,_xlpm.conceptRow)="","",INDEX(Curation!$F:$F,_xlpm.srcRow)))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44" spans="1:4" x14ac:dyDescent="0.3">
      <c r="A144" t="str" cm="1">
        <f t="array" ref="A144">_xlfn.LET(_xlpm.n,ROWS(A$2:A144),_xlpm.block,QUOTIENT(_xlpm.n-1,10),_xlpm.conceptRow,6+_xlpm.block*11,IF(INDEX(Curation!$A:$A,_xlpm.conceptRow)="","",INDEX(Curation!$A:$A,_xlpm.conceptRow)))</f>
        <v>kacsa</v>
      </c>
      <c r="B144" t="s">
        <v>474</v>
      </c>
      <c r="C144" cm="1">
        <f t="array" ref="C144">_xlfn.LET(_xlpm.n,ROWS(C$2:C144),_xlpm.block,QUOTIENT(_xlpm.n-1,10),_xlpm.pos,MOD(_xlpm.n-1,10),_xlpm.conceptRow,6+_xlpm.block*11,_xlpm.srcRow,_xlpm.conceptRow+_xlpm.pos,IF(INDEX(Curation!$A:$A,_xlpm.conceptRow)="","",INDEX(Curation!$E:$E,_xlpm.srcRow)))</f>
        <v>8</v>
      </c>
      <c r="D144" cm="1">
        <f t="array" ref="D144">_xlfn.LET(_xlpm.n,ROWS(D$2:D144),_xlpm.block,QUOTIENT(_xlpm.n-1,10),_xlpm.pos,MOD(_xlpm.n-1,10),_xlpm.conceptRow,6+_xlpm.block*11,_xlpm.srcRow,_xlpm.conceptRow+_xlpm.pos,IF(INDEX(Curation!$A:$A,_xlpm.conceptRow)="","",INDEX(Curation!$F:$F,_xlpm.srcRow)))</f>
        <v>0.14299999999999999</v>
      </c>
    </row>
    <row r="145" spans="1:4" x14ac:dyDescent="0.3">
      <c r="A145" t="str" cm="1">
        <f t="array" ref="A145">_xlfn.LET(_xlpm.n,ROWS(A$2:A145),_xlpm.block,QUOTIENT(_xlpm.n-1,10),_xlpm.conceptRow,6+_xlpm.block*11,IF(INDEX(Curation!$A:$A,_xlpm.conceptRow)="","",INDEX(Curation!$A:$A,_xlpm.conceptRow)))</f>
        <v>kacsa</v>
      </c>
      <c r="B145" t="s">
        <v>475</v>
      </c>
      <c r="C145" cm="1">
        <f t="array" ref="C145">_xlfn.LET(_xlpm.n,ROWS(C$2:C145),_xlpm.block,QUOTIENT(_xlpm.n-1,10),_xlpm.pos,MOD(_xlpm.n-1,10),_xlpm.conceptRow,6+_xlpm.block*11,_xlpm.srcRow,_xlpm.conceptRow+_xlpm.pos,IF(INDEX(Curation!$A:$A,_xlpm.conceptRow)="","",INDEX(Curation!$E:$E,_xlpm.srcRow)))</f>
        <v>7</v>
      </c>
      <c r="D145" cm="1">
        <f t="array" ref="D145">_xlfn.LET(_xlpm.n,ROWS(D$2:D145),_xlpm.block,QUOTIENT(_xlpm.n-1,10),_xlpm.pos,MOD(_xlpm.n-1,10),_xlpm.conceptRow,6+_xlpm.block*11,_xlpm.srcRow,_xlpm.conceptRow+_xlpm.pos,IF(INDEX(Curation!$A:$A,_xlpm.conceptRow)="","",INDEX(Curation!$F:$F,_xlpm.srcRow)))</f>
        <v>0.16700000000000001</v>
      </c>
    </row>
    <row r="146" spans="1:4" x14ac:dyDescent="0.3">
      <c r="A146" t="str" cm="1">
        <f t="array" ref="A146">_xlfn.LET(_xlpm.n,ROWS(A$2:A146),_xlpm.block,QUOTIENT(_xlpm.n-1,10),_xlpm.conceptRow,6+_xlpm.block*11,IF(INDEX(Curation!$A:$A,_xlpm.conceptRow)="","",INDEX(Curation!$A:$A,_xlpm.conceptRow)))</f>
        <v>kacsa</v>
      </c>
      <c r="B146" t="s">
        <v>476</v>
      </c>
      <c r="C146" cm="1">
        <f t="array" ref="C146">_xlfn.LET(_xlpm.n,ROWS(C$2:C146),_xlpm.block,QUOTIENT(_xlpm.n-1,10),_xlpm.pos,MOD(_xlpm.n-1,10),_xlpm.conceptRow,6+_xlpm.block*11,_xlpm.srcRow,_xlpm.conceptRow+_xlpm.pos,IF(INDEX(Curation!$A:$A,_xlpm.conceptRow)="","",INDEX(Curation!$E:$E,_xlpm.srcRow)))</f>
        <v>8</v>
      </c>
      <c r="D146" cm="1">
        <f t="array" ref="D146">_xlfn.LET(_xlpm.n,ROWS(D$2:D146),_xlpm.block,QUOTIENT(_xlpm.n-1,10),_xlpm.pos,MOD(_xlpm.n-1,10),_xlpm.conceptRow,6+_xlpm.block*11,_xlpm.srcRow,_xlpm.conceptRow+_xlpm.pos,IF(INDEX(Curation!$A:$A,_xlpm.conceptRow)="","",INDEX(Curation!$F:$F,_xlpm.srcRow)))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147" spans="1:4" x14ac:dyDescent="0.3">
      <c r="A147" t="str" cm="1">
        <f t="array" ref="A147">_xlfn.LET(_xlpm.n,ROWS(A$2:A147),_xlpm.block,QUOTIENT(_xlpm.n-1,10),_xlpm.conceptRow,6+_xlpm.block*11,IF(INDEX(Curation!$A:$A,_xlpm.conceptRow)="","",INDEX(Curation!$A:$A,_xlpm.conceptRow)))</f>
        <v>kacsa</v>
      </c>
      <c r="B147" t="s">
        <v>477</v>
      </c>
      <c r="C147" cm="1">
        <f t="array" ref="C147">_xlfn.LET(_xlpm.n,ROWS(C$2:C147),_xlpm.block,QUOTIENT(_xlpm.n-1,10),_xlpm.pos,MOD(_xlpm.n-1,10),_xlpm.conceptRow,6+_xlpm.block*11,_xlpm.srcRow,_xlpm.conceptRow+_xlpm.pos,IF(INDEX(Curation!$A:$A,_xlpm.conceptRow)="","",INDEX(Curation!$E:$E,_xlpm.srcRow)))</f>
        <v>5</v>
      </c>
      <c r="D147" cm="1">
        <f t="array" ref="D147">_xlfn.LET(_xlpm.n,ROWS(D$2:D147),_xlpm.block,QUOTIENT(_xlpm.n-1,10),_xlpm.pos,MOD(_xlpm.n-1,10),_xlpm.conceptRow,6+_xlpm.block*11,_xlpm.srcRow,_xlpm.conceptRow+_xlpm.pos,IF(INDEX(Curation!$A:$A,_xlpm.conceptRow)="","",INDEX(Curation!$F:$F,_xlpm.srcRow)))</f>
        <v>9.0999999999999998E-2</v>
      </c>
    </row>
    <row r="148" spans="1:4" x14ac:dyDescent="0.3">
      <c r="A148" t="str" cm="1">
        <f t="array" ref="A148">_xlfn.LET(_xlpm.n,ROWS(A$2:A148),_xlpm.block,QUOTIENT(_xlpm.n-1,10),_xlpm.conceptRow,6+_xlpm.block*11,IF(INDEX(Curation!$A:$A,_xlpm.conceptRow)="","",INDEX(Curation!$A:$A,_xlpm.conceptRow)))</f>
        <v>kacsa</v>
      </c>
      <c r="B148" t="s">
        <v>478</v>
      </c>
      <c r="C148" cm="1">
        <f t="array" ref="C148">_xlfn.LET(_xlpm.n,ROWS(C$2:C148),_xlpm.block,QUOTIENT(_xlpm.n-1,10),_xlpm.pos,MOD(_xlpm.n-1,10),_xlpm.conceptRow,6+_xlpm.block*11,_xlpm.srcRow,_xlpm.conceptRow+_xlpm.pos,IF(INDEX(Curation!$A:$A,_xlpm.conceptRow)="","",INDEX(Curation!$E:$E,_xlpm.srcRow)))</f>
        <v>2</v>
      </c>
      <c r="D148" cm="1">
        <f t="array" ref="D148">_xlfn.LET(_xlpm.n,ROWS(D$2:D148),_xlpm.block,QUOTIENT(_xlpm.n-1,10),_xlpm.pos,MOD(_xlpm.n-1,10),_xlpm.conceptRow,6+_xlpm.block*11,_xlpm.srcRow,_xlpm.conceptRow+_xlpm.pos,IF(INDEX(Curation!$A:$A,_xlpm.conceptRow)="","",INDEX(Curation!$F:$F,_xlpm.srcRow)))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149" spans="1:4" x14ac:dyDescent="0.3">
      <c r="A149" t="str" cm="1">
        <f t="array" ref="A149">_xlfn.LET(_xlpm.n,ROWS(A$2:A149),_xlpm.block,QUOTIENT(_xlpm.n-1,10),_xlpm.conceptRow,6+_xlpm.block*11,IF(INDEX(Curation!$A:$A,_xlpm.conceptRow)="","",INDEX(Curation!$A:$A,_xlpm.conceptRow)))</f>
        <v>kacsa</v>
      </c>
      <c r="B149" t="s">
        <v>479</v>
      </c>
      <c r="C149" cm="1">
        <f t="array" ref="C149">_xlfn.LET(_xlpm.n,ROWS(C$2:C149),_xlpm.block,QUOTIENT(_xlpm.n-1,10),_xlpm.pos,MOD(_xlpm.n-1,10),_xlpm.conceptRow,6+_xlpm.block*11,_xlpm.srcRow,_xlpm.conceptRow+_xlpm.pos,IF(INDEX(Curation!$A:$A,_xlpm.conceptRow)="","",INDEX(Curation!$E:$E,_xlpm.srcRow)))</f>
        <v>6</v>
      </c>
      <c r="D149" cm="1">
        <f t="array" ref="D149">_xlfn.LET(_xlpm.n,ROWS(D$2:D149),_xlpm.block,QUOTIENT(_xlpm.n-1,10),_xlpm.pos,MOD(_xlpm.n-1,10),_xlpm.conceptRow,6+_xlpm.block*11,_xlpm.srcRow,_xlpm.conceptRow+_xlpm.pos,IF(INDEX(Curation!$A:$A,_xlpm.conceptRow)="","",INDEX(Curation!$F:$F,_xlpm.srcRow)))</f>
        <v>9.0999999999999998E-2</v>
      </c>
    </row>
    <row r="150" spans="1:4" x14ac:dyDescent="0.3">
      <c r="A150" t="str" cm="1">
        <f t="array" ref="A150">_xlfn.LET(_xlpm.n,ROWS(A$2:A150),_xlpm.block,QUOTIENT(_xlpm.n-1,10),_xlpm.conceptRow,6+_xlpm.block*11,IF(INDEX(Curation!$A:$A,_xlpm.conceptRow)="","",INDEX(Curation!$A:$A,_xlpm.conceptRow)))</f>
        <v>kacsa</v>
      </c>
      <c r="B150" t="s">
        <v>480</v>
      </c>
      <c r="C150" cm="1">
        <f t="array" ref="C150">_xlfn.LET(_xlpm.n,ROWS(C$2:C150),_xlpm.block,QUOTIENT(_xlpm.n-1,10),_xlpm.pos,MOD(_xlpm.n-1,10),_xlpm.conceptRow,6+_xlpm.block*11,_xlpm.srcRow,_xlpm.conceptRow+_xlpm.pos,IF(INDEX(Curation!$A:$A,_xlpm.conceptRow)="","",INDEX(Curation!$E:$E,_xlpm.srcRow)))</f>
        <v>1</v>
      </c>
      <c r="D150" cm="1">
        <f t="array" ref="D150">_xlfn.LET(_xlpm.n,ROWS(D$2:D150),_xlpm.block,QUOTIENT(_xlpm.n-1,10),_xlpm.pos,MOD(_xlpm.n-1,10),_xlpm.conceptRow,6+_xlpm.block*11,_xlpm.srcRow,_xlpm.conceptRow+_xlpm.pos,IF(INDEX(Curation!$A:$A,_xlpm.conceptRow)="","",INDEX(Curation!$F:$F,_xlpm.srcRow)))</f>
        <v>0.111</v>
      </c>
    </row>
    <row r="151" spans="1:4" x14ac:dyDescent="0.3">
      <c r="A151" t="str" cm="1">
        <f t="array" ref="A151">_xlfn.LET(_xlpm.n,ROWS(A$2:A151),_xlpm.block,QUOTIENT(_xlpm.n-1,10),_xlpm.conceptRow,6+_xlpm.block*11,IF(INDEX(Curation!$A:$A,_xlpm.conceptRow)="","",INDEX(Curation!$A:$A,_xlpm.conceptRow)))</f>
        <v>kacsa</v>
      </c>
      <c r="B151" t="s">
        <v>481</v>
      </c>
      <c r="C151" cm="1">
        <f t="array" ref="C151">_xlfn.LET(_xlpm.n,ROWS(C$2:C151),_xlpm.block,QUOTIENT(_xlpm.n-1,10),_xlpm.pos,MOD(_xlpm.n-1,10),_xlpm.conceptRow,6+_xlpm.block*11,_xlpm.srcRow,_xlpm.conceptRow+_xlpm.pos,IF(INDEX(Curation!$A:$A,_xlpm.conceptRow)="","",INDEX(Curation!$E:$E,_xlpm.srcRow)))</f>
        <v>1</v>
      </c>
      <c r="D151" cm="1">
        <f t="array" ref="D151">_xlfn.LET(_xlpm.n,ROWS(D$2:D151),_xlpm.block,QUOTIENT(_xlpm.n-1,10),_xlpm.pos,MOD(_xlpm.n-1,10),_xlpm.conceptRow,6+_xlpm.block*11,_xlpm.srcRow,_xlpm.conceptRow+_xlpm.pos,IF(INDEX(Curation!$A:$A,_xlpm.conceptRow)="","",INDEX(Curation!$F:$F,_xlpm.srcRow)))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152" spans="1:4" x14ac:dyDescent="0.3">
      <c r="A152" t="str" cm="1">
        <f t="array" ref="A152">_xlfn.LET(_xlpm.n,ROWS(A$2:A152),_xlpm.block,QUOTIENT(_xlpm.n-1,10),_xlpm.conceptRow,6+_xlpm.block*11,IF(INDEX(Curation!$A:$A,_xlpm.conceptRow)="","",INDEX(Curation!$A:$A,_xlpm.conceptRow)))</f>
        <v>kard</v>
      </c>
      <c r="B152" t="s">
        <v>472</v>
      </c>
      <c r="C152" cm="1">
        <f t="array" ref="C152">_xlfn.LET(_xlpm.n,ROWS(C$2:C152),_xlpm.block,QUOTIENT(_xlpm.n-1,10),_xlpm.pos,MOD(_xlpm.n-1,10),_xlpm.conceptRow,6+_xlpm.block*11,_xlpm.srcRow,_xlpm.conceptRow+_xlpm.pos,IF(INDEX(Curation!$A:$A,_xlpm.conceptRow)="","",INDEX(Curation!$E:$E,_xlpm.srcRow)))</f>
        <v>3</v>
      </c>
      <c r="D152" cm="1">
        <f t="array" ref="D152">_xlfn.LET(_xlpm.n,ROWS(D$2:D152),_xlpm.block,QUOTIENT(_xlpm.n-1,10),_xlpm.pos,MOD(_xlpm.n-1,10),_xlpm.conceptRow,6+_xlpm.block*11,_xlpm.srcRow,_xlpm.conceptRow+_xlpm.pos,IF(INDEX(Curation!$A:$A,_xlpm.conceptRow)="","",INDEX(Curation!$F:$F,_xlpm.srcRow)))</f>
        <v>0.16700000000000001</v>
      </c>
    </row>
    <row r="153" spans="1:4" x14ac:dyDescent="0.3">
      <c r="A153" t="str" cm="1">
        <f t="array" ref="A153">_xlfn.LET(_xlpm.n,ROWS(A$2:A153),_xlpm.block,QUOTIENT(_xlpm.n-1,10),_xlpm.conceptRow,6+_xlpm.block*11,IF(INDEX(Curation!$A:$A,_xlpm.conceptRow)="","",INDEX(Curation!$A:$A,_xlpm.conceptRow)))</f>
        <v>kard</v>
      </c>
      <c r="B153" t="s">
        <v>473</v>
      </c>
      <c r="C153" cm="1">
        <f t="array" ref="C153">_xlfn.LET(_xlpm.n,ROWS(C$2:C153),_xlpm.block,QUOTIENT(_xlpm.n-1,10),_xlpm.pos,MOD(_xlpm.n-1,10),_xlpm.conceptRow,6+_xlpm.block*11,_xlpm.srcRow,_xlpm.conceptRow+_xlpm.pos,IF(INDEX(Curation!$A:$A,_xlpm.conceptRow)="","",INDEX(Curation!$E:$E,_xlpm.srcRow)))</f>
        <v>11</v>
      </c>
      <c r="D153" cm="1">
        <f t="array" ref="D153">_xlfn.LET(_xlpm.n,ROWS(D$2:D153),_xlpm.block,QUOTIENT(_xlpm.n-1,10),_xlpm.pos,MOD(_xlpm.n-1,10),_xlpm.conceptRow,6+_xlpm.block*11,_xlpm.srcRow,_xlpm.conceptRow+_xlpm.pos,IF(INDEX(Curation!$A:$A,_xlpm.conceptRow)="","",INDEX(Curation!$F:$F,_xlpm.srcRow)))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154" spans="1:4" x14ac:dyDescent="0.3">
      <c r="A154" t="str" cm="1">
        <f t="array" ref="A154">_xlfn.LET(_xlpm.n,ROWS(A$2:A154),_xlpm.block,QUOTIENT(_xlpm.n-1,10),_xlpm.conceptRow,6+_xlpm.block*11,IF(INDEX(Curation!$A:$A,_xlpm.conceptRow)="","",INDEX(Curation!$A:$A,_xlpm.conceptRow)))</f>
        <v>kard</v>
      </c>
      <c r="B154" t="s">
        <v>474</v>
      </c>
      <c r="C154" cm="1">
        <f t="array" ref="C154">_xlfn.LET(_xlpm.n,ROWS(C$2:C154),_xlpm.block,QUOTIENT(_xlpm.n-1,10),_xlpm.pos,MOD(_xlpm.n-1,10),_xlpm.conceptRow,6+_xlpm.block*11,_xlpm.srcRow,_xlpm.conceptRow+_xlpm.pos,IF(INDEX(Curation!$A:$A,_xlpm.conceptRow)="","",INDEX(Curation!$E:$E,_xlpm.srcRow)))</f>
        <v>4</v>
      </c>
      <c r="D154" cm="1">
        <f t="array" ref="D154">_xlfn.LET(_xlpm.n,ROWS(D$2:D154),_xlpm.block,QUOTIENT(_xlpm.n-1,10),_xlpm.pos,MOD(_xlpm.n-1,10),_xlpm.conceptRow,6+_xlpm.block*11,_xlpm.srcRow,_xlpm.conceptRow+_xlpm.pos,IF(INDEX(Curation!$A:$A,_xlpm.conceptRow)="","",INDEX(Curation!$F:$F,_xlpm.srcRow)))</f>
        <v>9.0999999999999998E-2</v>
      </c>
    </row>
    <row r="155" spans="1:4" x14ac:dyDescent="0.3">
      <c r="A155" t="str" cm="1">
        <f t="array" ref="A155">_xlfn.LET(_xlpm.n,ROWS(A$2:A155),_xlpm.block,QUOTIENT(_xlpm.n-1,10),_xlpm.conceptRow,6+_xlpm.block*11,IF(INDEX(Curation!$A:$A,_xlpm.conceptRow)="","",INDEX(Curation!$A:$A,_xlpm.conceptRow)))</f>
        <v>kard</v>
      </c>
      <c r="B155" t="s">
        <v>475</v>
      </c>
      <c r="C155" cm="1">
        <f t="array" ref="C155">_xlfn.LET(_xlpm.n,ROWS(C$2:C155),_xlpm.block,QUOTIENT(_xlpm.n-1,10),_xlpm.pos,MOD(_xlpm.n-1,10),_xlpm.conceptRow,6+_xlpm.block*11,_xlpm.srcRow,_xlpm.conceptRow+_xlpm.pos,IF(INDEX(Curation!$A:$A,_xlpm.conceptRow)="","",INDEX(Curation!$E:$E,_xlpm.srcRow)))</f>
        <v>1</v>
      </c>
      <c r="D155" cm="1">
        <f t="array" ref="D155">_xlfn.LET(_xlpm.n,ROWS(D$2:D155),_xlpm.block,QUOTIENT(_xlpm.n-1,10),_xlpm.pos,MOD(_xlpm.n-1,10),_xlpm.conceptRow,6+_xlpm.block*11,_xlpm.srcRow,_xlpm.conceptRow+_xlpm.pos,IF(INDEX(Curation!$A:$A,_xlpm.conceptRow)="","",INDEX(Curation!$F:$F,_xlpm.srcRow)))</f>
        <v>0.1</v>
      </c>
    </row>
    <row r="156" spans="1:4" x14ac:dyDescent="0.3">
      <c r="A156" t="str" cm="1">
        <f t="array" ref="A156">_xlfn.LET(_xlpm.n,ROWS(A$2:A156),_xlpm.block,QUOTIENT(_xlpm.n-1,10),_xlpm.conceptRow,6+_xlpm.block*11,IF(INDEX(Curation!$A:$A,_xlpm.conceptRow)="","",INDEX(Curation!$A:$A,_xlpm.conceptRow)))</f>
        <v>kard</v>
      </c>
      <c r="B156" t="s">
        <v>476</v>
      </c>
      <c r="C156" cm="1">
        <f t="array" ref="C156">_xlfn.LET(_xlpm.n,ROWS(C$2:C156),_xlpm.block,QUOTIENT(_xlpm.n-1,10),_xlpm.pos,MOD(_xlpm.n-1,10),_xlpm.conceptRow,6+_xlpm.block*11,_xlpm.srcRow,_xlpm.conceptRow+_xlpm.pos,IF(INDEX(Curation!$A:$A,_xlpm.conceptRow)="","",INDEX(Curation!$E:$E,_xlpm.srcRow)))</f>
        <v>1</v>
      </c>
      <c r="D156" cm="1">
        <f t="array" ref="D156">_xlfn.LET(_xlpm.n,ROWS(D$2:D156),_xlpm.block,QUOTIENT(_xlpm.n-1,10),_xlpm.pos,MOD(_xlpm.n-1,10),_xlpm.conceptRow,6+_xlpm.block*11,_xlpm.srcRow,_xlpm.conceptRow+_xlpm.pos,IF(INDEX(Curation!$A:$A,_xlpm.conceptRow)="","",INDEX(Curation!$F:$F,_xlpm.srcRow)))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157" spans="1:4" x14ac:dyDescent="0.3">
      <c r="A157" t="str" cm="1">
        <f t="array" ref="A157">_xlfn.LET(_xlpm.n,ROWS(A$2:A157),_xlpm.block,QUOTIENT(_xlpm.n-1,10),_xlpm.conceptRow,6+_xlpm.block*11,IF(INDEX(Curation!$A:$A,_xlpm.conceptRow)="","",INDEX(Curation!$A:$A,_xlpm.conceptRow)))</f>
        <v>kard</v>
      </c>
      <c r="B157" t="s">
        <v>477</v>
      </c>
      <c r="C157" cm="1">
        <f t="array" ref="C157">_xlfn.LET(_xlpm.n,ROWS(C$2:C157),_xlpm.block,QUOTIENT(_xlpm.n-1,10),_xlpm.pos,MOD(_xlpm.n-1,10),_xlpm.conceptRow,6+_xlpm.block*11,_xlpm.srcRow,_xlpm.conceptRow+_xlpm.pos,IF(INDEX(Curation!$A:$A,_xlpm.conceptRow)="","",INDEX(Curation!$E:$E,_xlpm.srcRow)))</f>
        <v>1</v>
      </c>
      <c r="D157" cm="1">
        <f t="array" ref="D157">_xlfn.LET(_xlpm.n,ROWS(D$2:D157),_xlpm.block,QUOTIENT(_xlpm.n-1,10),_xlpm.pos,MOD(_xlpm.n-1,10),_xlpm.conceptRow,6+_xlpm.block*11,_xlpm.srcRow,_xlpm.conceptRow+_xlpm.pos,IF(INDEX(Curation!$A:$A,_xlpm.conceptRow)="","",INDEX(Curation!$F:$F,_xlpm.srcRow)))</f>
        <v>0.16700000000000001</v>
      </c>
    </row>
    <row r="158" spans="1:4" x14ac:dyDescent="0.3">
      <c r="A158" t="str" cm="1">
        <f t="array" ref="A158">_xlfn.LET(_xlpm.n,ROWS(A$2:A158),_xlpm.block,QUOTIENT(_xlpm.n-1,10),_xlpm.conceptRow,6+_xlpm.block*11,IF(INDEX(Curation!$A:$A,_xlpm.conceptRow)="","",INDEX(Curation!$A:$A,_xlpm.conceptRow)))</f>
        <v>kard</v>
      </c>
      <c r="B158" t="s">
        <v>478</v>
      </c>
      <c r="C158" cm="1">
        <f t="array" ref="C158">_xlfn.LET(_xlpm.n,ROWS(C$2:C158),_xlpm.block,QUOTIENT(_xlpm.n-1,10),_xlpm.pos,MOD(_xlpm.n-1,10),_xlpm.conceptRow,6+_xlpm.block*11,_xlpm.srcRow,_xlpm.conceptRow+_xlpm.pos,IF(INDEX(Curation!$A:$A,_xlpm.conceptRow)="","",INDEX(Curation!$E:$E,_xlpm.srcRow)))</f>
        <v>1</v>
      </c>
      <c r="D158" cm="1">
        <f t="array" ref="D158">_xlfn.LET(_xlpm.n,ROWS(D$2:D158),_xlpm.block,QUOTIENT(_xlpm.n-1,10),_xlpm.pos,MOD(_xlpm.n-1,10),_xlpm.conceptRow,6+_xlpm.block*11,_xlpm.srcRow,_xlpm.conceptRow+_xlpm.pos,IF(INDEX(Curation!$A:$A,_xlpm.conceptRow)="","",INDEX(Curation!$F:$F,_xlpm.srcRow)))</f>
        <v>0.05</v>
      </c>
    </row>
    <row r="159" spans="1:4" x14ac:dyDescent="0.3">
      <c r="A159" t="str" cm="1">
        <f t="array" ref="A159">_xlfn.LET(_xlpm.n,ROWS(A$2:A159),_xlpm.block,QUOTIENT(_xlpm.n-1,10),_xlpm.conceptRow,6+_xlpm.block*11,IF(INDEX(Curation!$A:$A,_xlpm.conceptRow)="","",INDEX(Curation!$A:$A,_xlpm.conceptRow)))</f>
        <v>kard</v>
      </c>
      <c r="B159" t="s">
        <v>479</v>
      </c>
      <c r="C159" cm="1">
        <f t="array" ref="C159">_xlfn.LET(_xlpm.n,ROWS(C$2:C159),_xlpm.block,QUOTIENT(_xlpm.n-1,10),_xlpm.pos,MOD(_xlpm.n-1,10),_xlpm.conceptRow,6+_xlpm.block*11,_xlpm.srcRow,_xlpm.conceptRow+_xlpm.pos,IF(INDEX(Curation!$A:$A,_xlpm.conceptRow)="","",INDEX(Curation!$E:$E,_xlpm.srcRow)))</f>
        <v>1</v>
      </c>
      <c r="D159" cm="1">
        <f t="array" ref="D159">_xlfn.LET(_xlpm.n,ROWS(D$2:D159),_xlpm.block,QUOTIENT(_xlpm.n-1,10),_xlpm.pos,MOD(_xlpm.n-1,10),_xlpm.conceptRow,6+_xlpm.block*11,_xlpm.srcRow,_xlpm.conceptRow+_xlpm.pos,IF(INDEX(Curation!$A:$A,_xlpm.conceptRow)="","",INDEX(Curation!$F:$F,_xlpm.srcRow)))</f>
        <v>0.125</v>
      </c>
    </row>
    <row r="160" spans="1:4" x14ac:dyDescent="0.3">
      <c r="A160" t="str" cm="1">
        <f t="array" ref="A160">_xlfn.LET(_xlpm.n,ROWS(A$2:A160),_xlpm.block,QUOTIENT(_xlpm.n-1,10),_xlpm.conceptRow,6+_xlpm.block*11,IF(INDEX(Curation!$A:$A,_xlpm.conceptRow)="","",INDEX(Curation!$A:$A,_xlpm.conceptRow)))</f>
        <v>kard</v>
      </c>
      <c r="B160" t="s">
        <v>480</v>
      </c>
      <c r="C160" cm="1">
        <f t="array" ref="C160">_xlfn.LET(_xlpm.n,ROWS(C$2:C160),_xlpm.block,QUOTIENT(_xlpm.n-1,10),_xlpm.pos,MOD(_xlpm.n-1,10),_xlpm.conceptRow,6+_xlpm.block*11,_xlpm.srcRow,_xlpm.conceptRow+_xlpm.pos,IF(INDEX(Curation!$A:$A,_xlpm.conceptRow)="","",INDEX(Curation!$E:$E,_xlpm.srcRow)))</f>
        <v>4</v>
      </c>
      <c r="D160" cm="1">
        <f t="array" ref="D160">_xlfn.LET(_xlpm.n,ROWS(D$2:D160),_xlpm.block,QUOTIENT(_xlpm.n-1,10),_xlpm.pos,MOD(_xlpm.n-1,10),_xlpm.conceptRow,6+_xlpm.block*11,_xlpm.srcRow,_xlpm.conceptRow+_xlpm.pos,IF(INDEX(Curation!$A:$A,_xlpm.conceptRow)="","",INDEX(Curation!$F:$F,_xlpm.srcRow)))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61" spans="1:4" x14ac:dyDescent="0.3">
      <c r="A161" t="str" cm="1">
        <f t="array" ref="A161">_xlfn.LET(_xlpm.n,ROWS(A$2:A161),_xlpm.block,QUOTIENT(_xlpm.n-1,10),_xlpm.conceptRow,6+_xlpm.block*11,IF(INDEX(Curation!$A:$A,_xlpm.conceptRow)="","",INDEX(Curation!$A:$A,_xlpm.conceptRow)))</f>
        <v>kard</v>
      </c>
      <c r="B161" t="s">
        <v>481</v>
      </c>
      <c r="C161" t="e" cm="1">
        <f t="array" ref="C161">_xlfn.LET(_xlpm.n,ROWS(C$2:C161),_xlpm.block,QUOTIENT(_xlpm.n-1,10),_xlpm.pos,MOD(_xlpm.n-1,10),_xlpm.conceptRow,6+_xlpm.block*11,_xlpm.srcRow,_xlpm.conceptRow+_xlpm.pos,IF(INDEX(Curation!$A:$A,_xlpm.conceptRow)="","",INDEX(Curation!$E:$E,_xlpm.srcRow)))</f>
        <v>#N/A</v>
      </c>
      <c r="D161" t="e" cm="1">
        <f t="array" ref="D161">_xlfn.LET(_xlpm.n,ROWS(D$2:D161),_xlpm.block,QUOTIENT(_xlpm.n-1,10),_xlpm.pos,MOD(_xlpm.n-1,10),_xlpm.conceptRow,6+_xlpm.block*11,_xlpm.srcRow,_xlpm.conceptRow+_xlpm.pos,IF(INDEX(Curation!$A:$A,_xlpm.conceptRow)="","",INDEX(Curation!$F:$F,_xlpm.srcRow)))</f>
        <v>#N/A</v>
      </c>
    </row>
    <row r="162" spans="1:4" x14ac:dyDescent="0.3">
      <c r="A162" t="str" cm="1">
        <f t="array" ref="A162">_xlfn.LET(_xlpm.n,ROWS(A$2:A162),_xlpm.block,QUOTIENT(_xlpm.n-1,10),_xlpm.conceptRow,6+_xlpm.block*11,IF(INDEX(Curation!$A:$A,_xlpm.conceptRow)="","",INDEX(Curation!$A:$A,_xlpm.conceptRow)))</f>
        <v>krumpli</v>
      </c>
      <c r="B162" t="s">
        <v>472</v>
      </c>
      <c r="C162" cm="1">
        <f t="array" ref="C162">_xlfn.LET(_xlpm.n,ROWS(C$2:C162),_xlpm.block,QUOTIENT(_xlpm.n-1,10),_xlpm.pos,MOD(_xlpm.n-1,10),_xlpm.conceptRow,6+_xlpm.block*11,_xlpm.srcRow,_xlpm.conceptRow+_xlpm.pos,IF(INDEX(Curation!$A:$A,_xlpm.conceptRow)="","",INDEX(Curation!$E:$E,_xlpm.srcRow)))</f>
        <v>15</v>
      </c>
      <c r="D162" cm="1">
        <f t="array" ref="D162">_xlfn.LET(_xlpm.n,ROWS(D$2:D162),_xlpm.block,QUOTIENT(_xlpm.n-1,10),_xlpm.pos,MOD(_xlpm.n-1,10),_xlpm.conceptRow,6+_xlpm.block*11,_xlpm.srcRow,_xlpm.conceptRow+_xlpm.pos,IF(INDEX(Curation!$A:$A,_xlpm.conceptRow)="","",INDEX(Curation!$F:$F,_xlpm.srcRow)))</f>
        <v>0.125</v>
      </c>
    </row>
    <row r="163" spans="1:4" x14ac:dyDescent="0.3">
      <c r="A163" t="str" cm="1">
        <f t="array" ref="A163">_xlfn.LET(_xlpm.n,ROWS(A$2:A163),_xlpm.block,QUOTIENT(_xlpm.n-1,10),_xlpm.conceptRow,6+_xlpm.block*11,IF(INDEX(Curation!$A:$A,_xlpm.conceptRow)="","",INDEX(Curation!$A:$A,_xlpm.conceptRow)))</f>
        <v>krumpli</v>
      </c>
      <c r="B163" t="s">
        <v>473</v>
      </c>
      <c r="C163" cm="1">
        <f t="array" ref="C163">_xlfn.LET(_xlpm.n,ROWS(C$2:C163),_xlpm.block,QUOTIENT(_xlpm.n-1,10),_xlpm.pos,MOD(_xlpm.n-1,10),_xlpm.conceptRow,6+_xlpm.block*11,_xlpm.srcRow,_xlpm.conceptRow+_xlpm.pos,IF(INDEX(Curation!$A:$A,_xlpm.conceptRow)="","",INDEX(Curation!$E:$E,_xlpm.srcRow)))</f>
        <v>10</v>
      </c>
      <c r="D163" cm="1">
        <f t="array" ref="D163">_xlfn.LET(_xlpm.n,ROWS(D$2:D163),_xlpm.block,QUOTIENT(_xlpm.n-1,10),_xlpm.pos,MOD(_xlpm.n-1,10),_xlpm.conceptRow,6+_xlpm.block*11,_xlpm.srcRow,_xlpm.conceptRow+_xlpm.pos,IF(INDEX(Curation!$A:$A,_xlpm.conceptRow)="","",INDEX(Curation!$F:$F,_xlpm.srcRow)))</f>
        <v>9.0999999999999998E-2</v>
      </c>
    </row>
    <row r="164" spans="1:4" x14ac:dyDescent="0.3">
      <c r="A164" t="str" cm="1">
        <f t="array" ref="A164">_xlfn.LET(_xlpm.n,ROWS(A$2:A164),_xlpm.block,QUOTIENT(_xlpm.n-1,10),_xlpm.conceptRow,6+_xlpm.block*11,IF(INDEX(Curation!$A:$A,_xlpm.conceptRow)="","",INDEX(Curation!$A:$A,_xlpm.conceptRow)))</f>
        <v>krumpli</v>
      </c>
      <c r="B164" t="s">
        <v>474</v>
      </c>
      <c r="C164" cm="1">
        <f t="array" ref="C164">_xlfn.LET(_xlpm.n,ROWS(C$2:C164),_xlpm.block,QUOTIENT(_xlpm.n-1,10),_xlpm.pos,MOD(_xlpm.n-1,10),_xlpm.conceptRow,6+_xlpm.block*11,_xlpm.srcRow,_xlpm.conceptRow+_xlpm.pos,IF(INDEX(Curation!$A:$A,_xlpm.conceptRow)="","",INDEX(Curation!$E:$E,_xlpm.srcRow)))</f>
        <v>8</v>
      </c>
      <c r="D164" cm="1">
        <f t="array" ref="D164">_xlfn.LET(_xlpm.n,ROWS(D$2:D164),_xlpm.block,QUOTIENT(_xlpm.n-1,10),_xlpm.pos,MOD(_xlpm.n-1,10),_xlpm.conceptRow,6+_xlpm.block*11,_xlpm.srcRow,_xlpm.conceptRow+_xlpm.pos,IF(INDEX(Curation!$A:$A,_xlpm.conceptRow)="","",INDEX(Curation!$F:$F,_xlpm.srcRow)))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165" spans="1:4" x14ac:dyDescent="0.3">
      <c r="A165" t="str" cm="1">
        <f t="array" ref="A165">_xlfn.LET(_xlpm.n,ROWS(A$2:A165),_xlpm.block,QUOTIENT(_xlpm.n-1,10),_xlpm.conceptRow,6+_xlpm.block*11,IF(INDEX(Curation!$A:$A,_xlpm.conceptRow)="","",INDEX(Curation!$A:$A,_xlpm.conceptRow)))</f>
        <v>krumpli</v>
      </c>
      <c r="B165" t="s">
        <v>475</v>
      </c>
      <c r="C165" cm="1">
        <f t="array" ref="C165">_xlfn.LET(_xlpm.n,ROWS(C$2:C165),_xlpm.block,QUOTIENT(_xlpm.n-1,10),_xlpm.pos,MOD(_xlpm.n-1,10),_xlpm.conceptRow,6+_xlpm.block*11,_xlpm.srcRow,_xlpm.conceptRow+_xlpm.pos,IF(INDEX(Curation!$A:$A,_xlpm.conceptRow)="","",INDEX(Curation!$E:$E,_xlpm.srcRow)))</f>
        <v>3</v>
      </c>
      <c r="D165" cm="1">
        <f t="array" ref="D165">_xlfn.LET(_xlpm.n,ROWS(D$2:D165),_xlpm.block,QUOTIENT(_xlpm.n-1,10),_xlpm.pos,MOD(_xlpm.n-1,10),_xlpm.conceptRow,6+_xlpm.block*11,_xlpm.srcRow,_xlpm.conceptRow+_xlpm.pos,IF(INDEX(Curation!$A:$A,_xlpm.conceptRow)="","",INDEX(Curation!$F:$F,_xlpm.srcRow)))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66" spans="1:4" x14ac:dyDescent="0.3">
      <c r="A166" t="str" cm="1">
        <f t="array" ref="A166">_xlfn.LET(_xlpm.n,ROWS(A$2:A166),_xlpm.block,QUOTIENT(_xlpm.n-1,10),_xlpm.conceptRow,6+_xlpm.block*11,IF(INDEX(Curation!$A:$A,_xlpm.conceptRow)="","",INDEX(Curation!$A:$A,_xlpm.conceptRow)))</f>
        <v>krumpli</v>
      </c>
      <c r="B166" t="s">
        <v>476</v>
      </c>
      <c r="C166" cm="1">
        <f t="array" ref="C166">_xlfn.LET(_xlpm.n,ROWS(C$2:C166),_xlpm.block,QUOTIENT(_xlpm.n-1,10),_xlpm.pos,MOD(_xlpm.n-1,10),_xlpm.conceptRow,6+_xlpm.block*11,_xlpm.srcRow,_xlpm.conceptRow+_xlpm.pos,IF(INDEX(Curation!$A:$A,_xlpm.conceptRow)="","",INDEX(Curation!$E:$E,_xlpm.srcRow)))</f>
        <v>3</v>
      </c>
      <c r="D166" cm="1">
        <f t="array" ref="D166">_xlfn.LET(_xlpm.n,ROWS(D$2:D166),_xlpm.block,QUOTIENT(_xlpm.n-1,10),_xlpm.pos,MOD(_xlpm.n-1,10),_xlpm.conceptRow,6+_xlpm.block*11,_xlpm.srcRow,_xlpm.conceptRow+_xlpm.pos,IF(INDEX(Curation!$A:$A,_xlpm.conceptRow)="","",INDEX(Curation!$F:$F,_xlpm.srcRow)))</f>
        <v>0.1</v>
      </c>
    </row>
    <row r="167" spans="1:4" x14ac:dyDescent="0.3">
      <c r="A167" t="str" cm="1">
        <f t="array" ref="A167">_xlfn.LET(_xlpm.n,ROWS(A$2:A167),_xlpm.block,QUOTIENT(_xlpm.n-1,10),_xlpm.conceptRow,6+_xlpm.block*11,IF(INDEX(Curation!$A:$A,_xlpm.conceptRow)="","",INDEX(Curation!$A:$A,_xlpm.conceptRow)))</f>
        <v>krumpli</v>
      </c>
      <c r="B167" t="s">
        <v>477</v>
      </c>
      <c r="C167" cm="1">
        <f t="array" ref="C167">_xlfn.LET(_xlpm.n,ROWS(C$2:C167),_xlpm.block,QUOTIENT(_xlpm.n-1,10),_xlpm.pos,MOD(_xlpm.n-1,10),_xlpm.conceptRow,6+_xlpm.block*11,_xlpm.srcRow,_xlpm.conceptRow+_xlpm.pos,IF(INDEX(Curation!$A:$A,_xlpm.conceptRow)="","",INDEX(Curation!$E:$E,_xlpm.srcRow)))</f>
        <v>2</v>
      </c>
      <c r="D167" cm="1">
        <f t="array" ref="D167">_xlfn.LET(_xlpm.n,ROWS(D$2:D167),_xlpm.block,QUOTIENT(_xlpm.n-1,10),_xlpm.pos,MOD(_xlpm.n-1,10),_xlpm.conceptRow,6+_xlpm.block*11,_xlpm.srcRow,_xlpm.conceptRow+_xlpm.pos,IF(INDEX(Curation!$A:$A,_xlpm.conceptRow)="","",INDEX(Curation!$F:$F,_xlpm.srcRow)))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168" spans="1:4" x14ac:dyDescent="0.3">
      <c r="A168" t="str" cm="1">
        <f t="array" ref="A168">_xlfn.LET(_xlpm.n,ROWS(A$2:A168),_xlpm.block,QUOTIENT(_xlpm.n-1,10),_xlpm.conceptRow,6+_xlpm.block*11,IF(INDEX(Curation!$A:$A,_xlpm.conceptRow)="","",INDEX(Curation!$A:$A,_xlpm.conceptRow)))</f>
        <v>krumpli</v>
      </c>
      <c r="B168" t="s">
        <v>478</v>
      </c>
      <c r="C168" cm="1">
        <f t="array" ref="C168">_xlfn.LET(_xlpm.n,ROWS(C$2:C168),_xlpm.block,QUOTIENT(_xlpm.n-1,10),_xlpm.pos,MOD(_xlpm.n-1,10),_xlpm.conceptRow,6+_xlpm.block*11,_xlpm.srcRow,_xlpm.conceptRow+_xlpm.pos,IF(INDEX(Curation!$A:$A,_xlpm.conceptRow)="","",INDEX(Curation!$E:$E,_xlpm.srcRow)))</f>
        <v>6</v>
      </c>
      <c r="D168" cm="1">
        <f t="array" ref="D168">_xlfn.LET(_xlpm.n,ROWS(D$2:D168),_xlpm.block,QUOTIENT(_xlpm.n-1,10),_xlpm.pos,MOD(_xlpm.n-1,10),_xlpm.conceptRow,6+_xlpm.block*11,_xlpm.srcRow,_xlpm.conceptRow+_xlpm.pos,IF(INDEX(Curation!$A:$A,_xlpm.conceptRow)="","",INDEX(Curation!$F:$F,_xlpm.srcRow)))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169" spans="1:4" x14ac:dyDescent="0.3">
      <c r="A169" t="str" cm="1">
        <f t="array" ref="A169">_xlfn.LET(_xlpm.n,ROWS(A$2:A169),_xlpm.block,QUOTIENT(_xlpm.n-1,10),_xlpm.conceptRow,6+_xlpm.block*11,IF(INDEX(Curation!$A:$A,_xlpm.conceptRow)="","",INDEX(Curation!$A:$A,_xlpm.conceptRow)))</f>
        <v>krumpli</v>
      </c>
      <c r="B169" t="s">
        <v>479</v>
      </c>
      <c r="C169" cm="1">
        <f t="array" ref="C169">_xlfn.LET(_xlpm.n,ROWS(C$2:C169),_xlpm.block,QUOTIENT(_xlpm.n-1,10),_xlpm.pos,MOD(_xlpm.n-1,10),_xlpm.conceptRow,6+_xlpm.block*11,_xlpm.srcRow,_xlpm.conceptRow+_xlpm.pos,IF(INDEX(Curation!$A:$A,_xlpm.conceptRow)="","",INDEX(Curation!$E:$E,_xlpm.srcRow)))</f>
        <v>4</v>
      </c>
      <c r="D169" cm="1">
        <f t="array" ref="D169">_xlfn.LET(_xlpm.n,ROWS(D$2:D169),_xlpm.block,QUOTIENT(_xlpm.n-1,10),_xlpm.pos,MOD(_xlpm.n-1,10),_xlpm.conceptRow,6+_xlpm.block*11,_xlpm.srcRow,_xlpm.conceptRow+_xlpm.pos,IF(INDEX(Curation!$A:$A,_xlpm.conceptRow)="","",INDEX(Curation!$F:$F,_xlpm.srcRow)))</f>
        <v>0.111</v>
      </c>
    </row>
    <row r="170" spans="1:4" x14ac:dyDescent="0.3">
      <c r="A170" t="str" cm="1">
        <f t="array" ref="A170">_xlfn.LET(_xlpm.n,ROWS(A$2:A170),_xlpm.block,QUOTIENT(_xlpm.n-1,10),_xlpm.conceptRow,6+_xlpm.block*11,IF(INDEX(Curation!$A:$A,_xlpm.conceptRow)="","",INDEX(Curation!$A:$A,_xlpm.conceptRow)))</f>
        <v>krumpli</v>
      </c>
      <c r="B170" t="s">
        <v>480</v>
      </c>
      <c r="C170" cm="1">
        <f t="array" ref="C170">_xlfn.LET(_xlpm.n,ROWS(C$2:C170),_xlpm.block,QUOTIENT(_xlpm.n-1,10),_xlpm.pos,MOD(_xlpm.n-1,10),_xlpm.conceptRow,6+_xlpm.block*11,_xlpm.srcRow,_xlpm.conceptRow+_xlpm.pos,IF(INDEX(Curation!$A:$A,_xlpm.conceptRow)="","",INDEX(Curation!$E:$E,_xlpm.srcRow)))</f>
        <v>1</v>
      </c>
      <c r="D170" cm="1">
        <f t="array" ref="D170">_xlfn.LET(_xlpm.n,ROWS(D$2:D170),_xlpm.block,QUOTIENT(_xlpm.n-1,10),_xlpm.pos,MOD(_xlpm.n-1,10),_xlpm.conceptRow,6+_xlpm.block*11,_xlpm.srcRow,_xlpm.conceptRow+_xlpm.pos,IF(INDEX(Curation!$A:$A,_xlpm.conceptRow)="","",INDEX(Curation!$F:$F,_xlpm.srcRow)))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171" spans="1:4" x14ac:dyDescent="0.3">
      <c r="A171" t="str" cm="1">
        <f t="array" ref="A171">_xlfn.LET(_xlpm.n,ROWS(A$2:A171),_xlpm.block,QUOTIENT(_xlpm.n-1,10),_xlpm.conceptRow,6+_xlpm.block*11,IF(INDEX(Curation!$A:$A,_xlpm.conceptRow)="","",INDEX(Curation!$A:$A,_xlpm.conceptRow)))</f>
        <v>krumpli</v>
      </c>
      <c r="B171" t="s">
        <v>481</v>
      </c>
      <c r="C171" cm="1">
        <f t="array" ref="C171">_xlfn.LET(_xlpm.n,ROWS(C$2:C171),_xlpm.block,QUOTIENT(_xlpm.n-1,10),_xlpm.pos,MOD(_xlpm.n-1,10),_xlpm.conceptRow,6+_xlpm.block*11,_xlpm.srcRow,_xlpm.conceptRow+_xlpm.pos,IF(INDEX(Curation!$A:$A,_xlpm.conceptRow)="","",INDEX(Curation!$E:$E,_xlpm.srcRow)))</f>
        <v>2</v>
      </c>
      <c r="D171" cm="1">
        <f t="array" ref="D171">_xlfn.LET(_xlpm.n,ROWS(D$2:D171),_xlpm.block,QUOTIENT(_xlpm.n-1,10),_xlpm.pos,MOD(_xlpm.n-1,10),_xlpm.conceptRow,6+_xlpm.block*11,_xlpm.srcRow,_xlpm.conceptRow+_xlpm.pos,IF(INDEX(Curation!$A:$A,_xlpm.conceptRow)="","",INDEX(Curation!$F:$F,_xlpm.srcRow)))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172" spans="1:4" x14ac:dyDescent="0.3">
      <c r="A172" t="str" cm="1">
        <f t="array" ref="A172">_xlfn.LET(_xlpm.n,ROWS(A$2:A172),_xlpm.block,QUOTIENT(_xlpm.n-1,10),_xlpm.conceptRow,6+_xlpm.block*11,IF(INDEX(Curation!$A:$A,_xlpm.conceptRow)="","",INDEX(Curation!$A:$A,_xlpm.conceptRow)))</f>
        <v>kutya</v>
      </c>
      <c r="B172" t="s">
        <v>472</v>
      </c>
      <c r="C172" cm="1">
        <f t="array" ref="C172">_xlfn.LET(_xlpm.n,ROWS(C$2:C172),_xlpm.block,QUOTIENT(_xlpm.n-1,10),_xlpm.pos,MOD(_xlpm.n-1,10),_xlpm.conceptRow,6+_xlpm.block*11,_xlpm.srcRow,_xlpm.conceptRow+_xlpm.pos,IF(INDEX(Curation!$A:$A,_xlpm.conceptRow)="","",INDEX(Curation!$E:$E,_xlpm.srcRow)))</f>
        <v>5</v>
      </c>
      <c r="D172" cm="1">
        <f t="array" ref="D172">_xlfn.LET(_xlpm.n,ROWS(D$2:D172),_xlpm.block,QUOTIENT(_xlpm.n-1,10),_xlpm.pos,MOD(_xlpm.n-1,10),_xlpm.conceptRow,6+_xlpm.block*11,_xlpm.srcRow,_xlpm.conceptRow+_xlpm.pos,IF(INDEX(Curation!$A:$A,_xlpm.conceptRow)="","",INDEX(Curation!$F:$F,_xlpm.srcRow)))</f>
        <v>0.16700000000000001</v>
      </c>
    </row>
    <row r="173" spans="1:4" x14ac:dyDescent="0.3">
      <c r="A173" t="str" cm="1">
        <f t="array" ref="A173">_xlfn.LET(_xlpm.n,ROWS(A$2:A173),_xlpm.block,QUOTIENT(_xlpm.n-1,10),_xlpm.conceptRow,6+_xlpm.block*11,IF(INDEX(Curation!$A:$A,_xlpm.conceptRow)="","",INDEX(Curation!$A:$A,_xlpm.conceptRow)))</f>
        <v>kutya</v>
      </c>
      <c r="B173" t="s">
        <v>473</v>
      </c>
      <c r="C173" cm="1">
        <f t="array" ref="C173">_xlfn.LET(_xlpm.n,ROWS(C$2:C173),_xlpm.block,QUOTIENT(_xlpm.n-1,10),_xlpm.pos,MOD(_xlpm.n-1,10),_xlpm.conceptRow,6+_xlpm.block*11,_xlpm.srcRow,_xlpm.conceptRow+_xlpm.pos,IF(INDEX(Curation!$A:$A,_xlpm.conceptRow)="","",INDEX(Curation!$E:$E,_xlpm.srcRow)))</f>
        <v>10</v>
      </c>
      <c r="D173" cm="1">
        <f t="array" ref="D173">_xlfn.LET(_xlpm.n,ROWS(D$2:D173),_xlpm.block,QUOTIENT(_xlpm.n-1,10),_xlpm.pos,MOD(_xlpm.n-1,10),_xlpm.conceptRow,6+_xlpm.block*11,_xlpm.srcRow,_xlpm.conceptRow+_xlpm.pos,IF(INDEX(Curation!$A:$A,_xlpm.conceptRow)="","",INDEX(Curation!$F:$F,_xlpm.srcRow)))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74" spans="1:4" x14ac:dyDescent="0.3">
      <c r="A174" t="str" cm="1">
        <f t="array" ref="A174">_xlfn.LET(_xlpm.n,ROWS(A$2:A174),_xlpm.block,QUOTIENT(_xlpm.n-1,10),_xlpm.conceptRow,6+_xlpm.block*11,IF(INDEX(Curation!$A:$A,_xlpm.conceptRow)="","",INDEX(Curation!$A:$A,_xlpm.conceptRow)))</f>
        <v>kutya</v>
      </c>
      <c r="B174" t="s">
        <v>474</v>
      </c>
      <c r="C174" cm="1">
        <f t="array" ref="C174">_xlfn.LET(_xlpm.n,ROWS(C$2:C174),_xlpm.block,QUOTIENT(_xlpm.n-1,10),_xlpm.pos,MOD(_xlpm.n-1,10),_xlpm.conceptRow,6+_xlpm.block*11,_xlpm.srcRow,_xlpm.conceptRow+_xlpm.pos,IF(INDEX(Curation!$A:$A,_xlpm.conceptRow)="","",INDEX(Curation!$E:$E,_xlpm.srcRow)))</f>
        <v>6</v>
      </c>
      <c r="D174" cm="1">
        <f t="array" ref="D174">_xlfn.LET(_xlpm.n,ROWS(D$2:D174),_xlpm.block,QUOTIENT(_xlpm.n-1,10),_xlpm.pos,MOD(_xlpm.n-1,10),_xlpm.conceptRow,6+_xlpm.block*11,_xlpm.srcRow,_xlpm.conceptRow+_xlpm.pos,IF(INDEX(Curation!$A:$A,_xlpm.conceptRow)="","",INDEX(Curation!$F:$F,_xlpm.srcRow)))</f>
        <v>9.0999999999999998E-2</v>
      </c>
    </row>
    <row r="175" spans="1:4" x14ac:dyDescent="0.3">
      <c r="A175" t="str" cm="1">
        <f t="array" ref="A175">_xlfn.LET(_xlpm.n,ROWS(A$2:A175),_xlpm.block,QUOTIENT(_xlpm.n-1,10),_xlpm.conceptRow,6+_xlpm.block*11,IF(INDEX(Curation!$A:$A,_xlpm.conceptRow)="","",INDEX(Curation!$A:$A,_xlpm.conceptRow)))</f>
        <v>kutya</v>
      </c>
      <c r="B175" t="s">
        <v>475</v>
      </c>
      <c r="C175" cm="1">
        <f t="array" ref="C175">_xlfn.LET(_xlpm.n,ROWS(C$2:C175),_xlpm.block,QUOTIENT(_xlpm.n-1,10),_xlpm.pos,MOD(_xlpm.n-1,10),_xlpm.conceptRow,6+_xlpm.block*11,_xlpm.srcRow,_xlpm.conceptRow+_xlpm.pos,IF(INDEX(Curation!$A:$A,_xlpm.conceptRow)="","",INDEX(Curation!$E:$E,_xlpm.srcRow)))</f>
        <v>8</v>
      </c>
      <c r="D175" cm="1">
        <f t="array" ref="D175">_xlfn.LET(_xlpm.n,ROWS(D$2:D175),_xlpm.block,QUOTIENT(_xlpm.n-1,10),_xlpm.pos,MOD(_xlpm.n-1,10),_xlpm.conceptRow,6+_xlpm.block*11,_xlpm.srcRow,_xlpm.conceptRow+_xlpm.pos,IF(INDEX(Curation!$A:$A,_xlpm.conceptRow)="","",INDEX(Curation!$F:$F,_xlpm.srcRow)))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76" spans="1:4" x14ac:dyDescent="0.3">
      <c r="A176" t="str" cm="1">
        <f t="array" ref="A176">_xlfn.LET(_xlpm.n,ROWS(A$2:A176),_xlpm.block,QUOTIENT(_xlpm.n-1,10),_xlpm.conceptRow,6+_xlpm.block*11,IF(INDEX(Curation!$A:$A,_xlpm.conceptRow)="","",INDEX(Curation!$A:$A,_xlpm.conceptRow)))</f>
        <v>kutya</v>
      </c>
      <c r="B176" t="s">
        <v>476</v>
      </c>
      <c r="C176" cm="1">
        <f t="array" ref="C176">_xlfn.LET(_xlpm.n,ROWS(C$2:C176),_xlpm.block,QUOTIENT(_xlpm.n-1,10),_xlpm.pos,MOD(_xlpm.n-1,10),_xlpm.conceptRow,6+_xlpm.block*11,_xlpm.srcRow,_xlpm.conceptRow+_xlpm.pos,IF(INDEX(Curation!$A:$A,_xlpm.conceptRow)="","",INDEX(Curation!$E:$E,_xlpm.srcRow)))</f>
        <v>7</v>
      </c>
      <c r="D176" cm="1">
        <f t="array" ref="D176">_xlfn.LET(_xlpm.n,ROWS(D$2:D176),_xlpm.block,QUOTIENT(_xlpm.n-1,10),_xlpm.pos,MOD(_xlpm.n-1,10),_xlpm.conceptRow,6+_xlpm.block*11,_xlpm.srcRow,_xlpm.conceptRow+_xlpm.pos,IF(INDEX(Curation!$A:$A,_xlpm.conceptRow)="","",INDEX(Curation!$F:$F,_xlpm.srcRow)))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177" spans="1:4" x14ac:dyDescent="0.3">
      <c r="A177" t="str" cm="1">
        <f t="array" ref="A177">_xlfn.LET(_xlpm.n,ROWS(A$2:A177),_xlpm.block,QUOTIENT(_xlpm.n-1,10),_xlpm.conceptRow,6+_xlpm.block*11,IF(INDEX(Curation!$A:$A,_xlpm.conceptRow)="","",INDEX(Curation!$A:$A,_xlpm.conceptRow)))</f>
        <v>kutya</v>
      </c>
      <c r="B177" t="s">
        <v>477</v>
      </c>
      <c r="C177" cm="1">
        <f t="array" ref="C177">_xlfn.LET(_xlpm.n,ROWS(C$2:C177),_xlpm.block,QUOTIENT(_xlpm.n-1,10),_xlpm.pos,MOD(_xlpm.n-1,10),_xlpm.conceptRow,6+_xlpm.block*11,_xlpm.srcRow,_xlpm.conceptRow+_xlpm.pos,IF(INDEX(Curation!$A:$A,_xlpm.conceptRow)="","",INDEX(Curation!$E:$E,_xlpm.srcRow)))</f>
        <v>6</v>
      </c>
      <c r="D177" cm="1">
        <f t="array" ref="D177">_xlfn.LET(_xlpm.n,ROWS(D$2:D177),_xlpm.block,QUOTIENT(_xlpm.n-1,10),_xlpm.pos,MOD(_xlpm.n-1,10),_xlpm.conceptRow,6+_xlpm.block*11,_xlpm.srcRow,_xlpm.conceptRow+_xlpm.pos,IF(INDEX(Curation!$A:$A,_xlpm.conceptRow)="","",INDEX(Curation!$F:$F,_xlpm.srcRow)))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78" spans="1:4" x14ac:dyDescent="0.3">
      <c r="A178" t="str" cm="1">
        <f t="array" ref="A178">_xlfn.LET(_xlpm.n,ROWS(A$2:A178),_xlpm.block,QUOTIENT(_xlpm.n-1,10),_xlpm.conceptRow,6+_xlpm.block*11,IF(INDEX(Curation!$A:$A,_xlpm.conceptRow)="","",INDEX(Curation!$A:$A,_xlpm.conceptRow)))</f>
        <v>kutya</v>
      </c>
      <c r="B178" t="s">
        <v>478</v>
      </c>
      <c r="C178" cm="1">
        <f t="array" ref="C178">_xlfn.LET(_xlpm.n,ROWS(C$2:C178),_xlpm.block,QUOTIENT(_xlpm.n-1,10),_xlpm.pos,MOD(_xlpm.n-1,10),_xlpm.conceptRow,6+_xlpm.block*11,_xlpm.srcRow,_xlpm.conceptRow+_xlpm.pos,IF(INDEX(Curation!$A:$A,_xlpm.conceptRow)="","",INDEX(Curation!$E:$E,_xlpm.srcRow)))</f>
        <v>1</v>
      </c>
      <c r="D178" cm="1">
        <f t="array" ref="D178">_xlfn.LET(_xlpm.n,ROWS(D$2:D178),_xlpm.block,QUOTIENT(_xlpm.n-1,10),_xlpm.pos,MOD(_xlpm.n-1,10),_xlpm.conceptRow,6+_xlpm.block*11,_xlpm.srcRow,_xlpm.conceptRow+_xlpm.pos,IF(INDEX(Curation!$A:$A,_xlpm.conceptRow)="","",INDEX(Curation!$F:$F,_xlpm.srcRow)))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179" spans="1:4" x14ac:dyDescent="0.3">
      <c r="A179" t="str" cm="1">
        <f t="array" ref="A179">_xlfn.LET(_xlpm.n,ROWS(A$2:A179),_xlpm.block,QUOTIENT(_xlpm.n-1,10),_xlpm.conceptRow,6+_xlpm.block*11,IF(INDEX(Curation!$A:$A,_xlpm.conceptRow)="","",INDEX(Curation!$A:$A,_xlpm.conceptRow)))</f>
        <v>kutya</v>
      </c>
      <c r="B179" t="s">
        <v>479</v>
      </c>
      <c r="C179" cm="1">
        <f t="array" ref="C179">_xlfn.LET(_xlpm.n,ROWS(C$2:C179),_xlpm.block,QUOTIENT(_xlpm.n-1,10),_xlpm.pos,MOD(_xlpm.n-1,10),_xlpm.conceptRow,6+_xlpm.block*11,_xlpm.srcRow,_xlpm.conceptRow+_xlpm.pos,IF(INDEX(Curation!$A:$A,_xlpm.conceptRow)="","",INDEX(Curation!$E:$E,_xlpm.srcRow)))</f>
        <v>2</v>
      </c>
      <c r="D179" cm="1">
        <f t="array" ref="D179">_xlfn.LET(_xlpm.n,ROWS(D$2:D179),_xlpm.block,QUOTIENT(_xlpm.n-1,10),_xlpm.pos,MOD(_xlpm.n-1,10),_xlpm.conceptRow,6+_xlpm.block*11,_xlpm.srcRow,_xlpm.conceptRow+_xlpm.pos,IF(INDEX(Curation!$A:$A,_xlpm.conceptRow)="","",INDEX(Curation!$F:$F,_xlpm.srcRow)))</f>
        <v>0.111</v>
      </c>
    </row>
    <row r="180" spans="1:4" x14ac:dyDescent="0.3">
      <c r="A180" t="str" cm="1">
        <f t="array" ref="A180">_xlfn.LET(_xlpm.n,ROWS(A$2:A180),_xlpm.block,QUOTIENT(_xlpm.n-1,10),_xlpm.conceptRow,6+_xlpm.block*11,IF(INDEX(Curation!$A:$A,_xlpm.conceptRow)="","",INDEX(Curation!$A:$A,_xlpm.conceptRow)))</f>
        <v>kutya</v>
      </c>
      <c r="B180" t="s">
        <v>480</v>
      </c>
      <c r="C180" cm="1">
        <f t="array" ref="C180">_xlfn.LET(_xlpm.n,ROWS(C$2:C180),_xlpm.block,QUOTIENT(_xlpm.n-1,10),_xlpm.pos,MOD(_xlpm.n-1,10),_xlpm.conceptRow,6+_xlpm.block*11,_xlpm.srcRow,_xlpm.conceptRow+_xlpm.pos,IF(INDEX(Curation!$A:$A,_xlpm.conceptRow)="","",INDEX(Curation!$E:$E,_xlpm.srcRow)))</f>
        <v>11</v>
      </c>
      <c r="D180" cm="1">
        <f t="array" ref="D180">_xlfn.LET(_xlpm.n,ROWS(D$2:D180),_xlpm.block,QUOTIENT(_xlpm.n-1,10),_xlpm.pos,MOD(_xlpm.n-1,10),_xlpm.conceptRow,6+_xlpm.block*11,_xlpm.srcRow,_xlpm.conceptRow+_xlpm.pos,IF(INDEX(Curation!$A:$A,_xlpm.conceptRow)="","",INDEX(Curation!$F:$F,_xlpm.srcRow)))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181" spans="1:4" x14ac:dyDescent="0.3">
      <c r="A181" t="str" cm="1">
        <f t="array" ref="A181">_xlfn.LET(_xlpm.n,ROWS(A$2:A181),_xlpm.block,QUOTIENT(_xlpm.n-1,10),_xlpm.conceptRow,6+_xlpm.block*11,IF(INDEX(Curation!$A:$A,_xlpm.conceptRow)="","",INDEX(Curation!$A:$A,_xlpm.conceptRow)))</f>
        <v>kutya</v>
      </c>
      <c r="B181" t="s">
        <v>481</v>
      </c>
      <c r="C181" cm="1">
        <f t="array" ref="C181">_xlfn.LET(_xlpm.n,ROWS(C$2:C181),_xlpm.block,QUOTIENT(_xlpm.n-1,10),_xlpm.pos,MOD(_xlpm.n-1,10),_xlpm.conceptRow,6+_xlpm.block*11,_xlpm.srcRow,_xlpm.conceptRow+_xlpm.pos,IF(INDEX(Curation!$A:$A,_xlpm.conceptRow)="","",INDEX(Curation!$E:$E,_xlpm.srcRow)))</f>
        <v>17</v>
      </c>
      <c r="D181" cm="1">
        <f t="array" ref="D181">_xlfn.LET(_xlpm.n,ROWS(D$2:D181),_xlpm.block,QUOTIENT(_xlpm.n-1,10),_xlpm.pos,MOD(_xlpm.n-1,10),_xlpm.conceptRow,6+_xlpm.block*11,_xlpm.srcRow,_xlpm.conceptRow+_xlpm.pos,IF(INDEX(Curation!$A:$A,_xlpm.conceptRow)="","",INDEX(Curation!$F:$F,_xlpm.srcRow)))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82" spans="1:4" x14ac:dyDescent="0.3">
      <c r="A182" t="str" cm="1">
        <f t="array" ref="A182">_xlfn.LET(_xlpm.n,ROWS(A$2:A182),_xlpm.block,QUOTIENT(_xlpm.n-1,10),_xlpm.conceptRow,6+_xlpm.block*11,IF(INDEX(Curation!$A:$A,_xlpm.conceptRow)="","",INDEX(Curation!$A:$A,_xlpm.conceptRow)))</f>
        <v>kéz</v>
      </c>
      <c r="B182" t="s">
        <v>472</v>
      </c>
      <c r="C182" cm="1">
        <f t="array" ref="C182">_xlfn.LET(_xlpm.n,ROWS(C$2:C182),_xlpm.block,QUOTIENT(_xlpm.n-1,10),_xlpm.pos,MOD(_xlpm.n-1,10),_xlpm.conceptRow,6+_xlpm.block*11,_xlpm.srcRow,_xlpm.conceptRow+_xlpm.pos,IF(INDEX(Curation!$A:$A,_xlpm.conceptRow)="","",INDEX(Curation!$E:$E,_xlpm.srcRow)))</f>
        <v>2</v>
      </c>
      <c r="D182" cm="1">
        <f t="array" ref="D182">_xlfn.LET(_xlpm.n,ROWS(D$2:D182),_xlpm.block,QUOTIENT(_xlpm.n-1,10),_xlpm.pos,MOD(_xlpm.n-1,10),_xlpm.conceptRow,6+_xlpm.block*11,_xlpm.srcRow,_xlpm.conceptRow+_xlpm.pos,IF(INDEX(Curation!$A:$A,_xlpm.conceptRow)="","",INDEX(Curation!$F:$F,_xlpm.srcRow)))</f>
        <v>0.1</v>
      </c>
    </row>
    <row r="183" spans="1:4" x14ac:dyDescent="0.3">
      <c r="A183" t="str" cm="1">
        <f t="array" ref="A183">_xlfn.LET(_xlpm.n,ROWS(A$2:A183),_xlpm.block,QUOTIENT(_xlpm.n-1,10),_xlpm.conceptRow,6+_xlpm.block*11,IF(INDEX(Curation!$A:$A,_xlpm.conceptRow)="","",INDEX(Curation!$A:$A,_xlpm.conceptRow)))</f>
        <v>kéz</v>
      </c>
      <c r="B183" t="s">
        <v>473</v>
      </c>
      <c r="C183" cm="1">
        <f t="array" ref="C183">_xlfn.LET(_xlpm.n,ROWS(C$2:C183),_xlpm.block,QUOTIENT(_xlpm.n-1,10),_xlpm.pos,MOD(_xlpm.n-1,10),_xlpm.conceptRow,6+_xlpm.block*11,_xlpm.srcRow,_xlpm.conceptRow+_xlpm.pos,IF(INDEX(Curation!$A:$A,_xlpm.conceptRow)="","",INDEX(Curation!$E:$E,_xlpm.srcRow)))</f>
        <v>3</v>
      </c>
      <c r="D183" cm="1">
        <f t="array" ref="D183">_xlfn.LET(_xlpm.n,ROWS(D$2:D183),_xlpm.block,QUOTIENT(_xlpm.n-1,10),_xlpm.pos,MOD(_xlpm.n-1,10),_xlpm.conceptRow,6+_xlpm.block*11,_xlpm.srcRow,_xlpm.conceptRow+_xlpm.pos,IF(INDEX(Curation!$A:$A,_xlpm.conceptRow)="","",INDEX(Curation!$F:$F,_xlpm.srcRow)))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184" spans="1:4" x14ac:dyDescent="0.3">
      <c r="A184" t="str" cm="1">
        <f t="array" ref="A184">_xlfn.LET(_xlpm.n,ROWS(A$2:A184),_xlpm.block,QUOTIENT(_xlpm.n-1,10),_xlpm.conceptRow,6+_xlpm.block*11,IF(INDEX(Curation!$A:$A,_xlpm.conceptRow)="","",INDEX(Curation!$A:$A,_xlpm.conceptRow)))</f>
        <v>kéz</v>
      </c>
      <c r="B184" t="s">
        <v>474</v>
      </c>
      <c r="C184" cm="1">
        <f t="array" ref="C184">_xlfn.LET(_xlpm.n,ROWS(C$2:C184),_xlpm.block,QUOTIENT(_xlpm.n-1,10),_xlpm.pos,MOD(_xlpm.n-1,10),_xlpm.conceptRow,6+_xlpm.block*11,_xlpm.srcRow,_xlpm.conceptRow+_xlpm.pos,IF(INDEX(Curation!$A:$A,_xlpm.conceptRow)="","",INDEX(Curation!$E:$E,_xlpm.srcRow)))</f>
        <v>27</v>
      </c>
      <c r="D184" cm="1">
        <f t="array" ref="D184">_xlfn.LET(_xlpm.n,ROWS(D$2:D184),_xlpm.block,QUOTIENT(_xlpm.n-1,10),_xlpm.pos,MOD(_xlpm.n-1,10),_xlpm.conceptRow,6+_xlpm.block*11,_xlpm.srcRow,_xlpm.conceptRow+_xlpm.pos,IF(INDEX(Curation!$A:$A,_xlpm.conceptRow)="","",INDEX(Curation!$F:$F,_xlpm.srcRow)))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185" spans="1:4" x14ac:dyDescent="0.3">
      <c r="A185" t="str" cm="1">
        <f t="array" ref="A185">_xlfn.LET(_xlpm.n,ROWS(A$2:A185),_xlpm.block,QUOTIENT(_xlpm.n-1,10),_xlpm.conceptRow,6+_xlpm.block*11,IF(INDEX(Curation!$A:$A,_xlpm.conceptRow)="","",INDEX(Curation!$A:$A,_xlpm.conceptRow)))</f>
        <v>kéz</v>
      </c>
      <c r="B185" t="s">
        <v>475</v>
      </c>
      <c r="C185" cm="1">
        <f t="array" ref="C185">_xlfn.LET(_xlpm.n,ROWS(C$2:C185),_xlpm.block,QUOTIENT(_xlpm.n-1,10),_xlpm.pos,MOD(_xlpm.n-1,10),_xlpm.conceptRow,6+_xlpm.block*11,_xlpm.srcRow,_xlpm.conceptRow+_xlpm.pos,IF(INDEX(Curation!$A:$A,_xlpm.conceptRow)="","",INDEX(Curation!$E:$E,_xlpm.srcRow)))</f>
        <v>9</v>
      </c>
      <c r="D185" cm="1">
        <f t="array" ref="D185">_xlfn.LET(_xlpm.n,ROWS(D$2:D185),_xlpm.block,QUOTIENT(_xlpm.n-1,10),_xlpm.pos,MOD(_xlpm.n-1,10),_xlpm.conceptRow,6+_xlpm.block*11,_xlpm.srcRow,_xlpm.conceptRow+_xlpm.pos,IF(INDEX(Curation!$A:$A,_xlpm.conceptRow)="","",INDEX(Curation!$F:$F,_xlpm.srcRow)))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186" spans="1:4" x14ac:dyDescent="0.3">
      <c r="A186" t="str" cm="1">
        <f t="array" ref="A186">_xlfn.LET(_xlpm.n,ROWS(A$2:A186),_xlpm.block,QUOTIENT(_xlpm.n-1,10),_xlpm.conceptRow,6+_xlpm.block*11,IF(INDEX(Curation!$A:$A,_xlpm.conceptRow)="","",INDEX(Curation!$A:$A,_xlpm.conceptRow)))</f>
        <v>kéz</v>
      </c>
      <c r="B186" t="s">
        <v>476</v>
      </c>
      <c r="C186" cm="1">
        <f t="array" ref="C186">_xlfn.LET(_xlpm.n,ROWS(C$2:C186),_xlpm.block,QUOTIENT(_xlpm.n-1,10),_xlpm.pos,MOD(_xlpm.n-1,10),_xlpm.conceptRow,6+_xlpm.block*11,_xlpm.srcRow,_xlpm.conceptRow+_xlpm.pos,IF(INDEX(Curation!$A:$A,_xlpm.conceptRow)="","",INDEX(Curation!$E:$E,_xlpm.srcRow)))</f>
        <v>1</v>
      </c>
      <c r="D186" cm="1">
        <f t="array" ref="D186">_xlfn.LET(_xlpm.n,ROWS(D$2:D186),_xlpm.block,QUOTIENT(_xlpm.n-1,10),_xlpm.pos,MOD(_xlpm.n-1,10),_xlpm.conceptRow,6+_xlpm.block*11,_xlpm.srcRow,_xlpm.conceptRow+_xlpm.pos,IF(INDEX(Curation!$A:$A,_xlpm.conceptRow)="","",INDEX(Curation!$F:$F,_xlpm.srcRow)))</f>
        <v>0.14299999999999999</v>
      </c>
    </row>
    <row r="187" spans="1:4" x14ac:dyDescent="0.3">
      <c r="A187" t="str" cm="1">
        <f t="array" ref="A187">_xlfn.LET(_xlpm.n,ROWS(A$2:A187),_xlpm.block,QUOTIENT(_xlpm.n-1,10),_xlpm.conceptRow,6+_xlpm.block*11,IF(INDEX(Curation!$A:$A,_xlpm.conceptRow)="","",INDEX(Curation!$A:$A,_xlpm.conceptRow)))</f>
        <v>kéz</v>
      </c>
      <c r="B187" t="s">
        <v>477</v>
      </c>
      <c r="C187" cm="1">
        <f t="array" ref="C187">_xlfn.LET(_xlpm.n,ROWS(C$2:C187),_xlpm.block,QUOTIENT(_xlpm.n-1,10),_xlpm.pos,MOD(_xlpm.n-1,10),_xlpm.conceptRow,6+_xlpm.block*11,_xlpm.srcRow,_xlpm.conceptRow+_xlpm.pos,IF(INDEX(Curation!$A:$A,_xlpm.conceptRow)="","",INDEX(Curation!$E:$E,_xlpm.srcRow)))</f>
        <v>2</v>
      </c>
      <c r="D187" cm="1">
        <f t="array" ref="D187">_xlfn.LET(_xlpm.n,ROWS(D$2:D187),_xlpm.block,QUOTIENT(_xlpm.n-1,10),_xlpm.pos,MOD(_xlpm.n-1,10),_xlpm.conceptRow,6+_xlpm.block*11,_xlpm.srcRow,_xlpm.conceptRow+_xlpm.pos,IF(INDEX(Curation!$A:$A,_xlpm.conceptRow)="","",INDEX(Curation!$F:$F,_xlpm.srcRow)))</f>
        <v>0.16700000000000001</v>
      </c>
    </row>
    <row r="188" spans="1:4" x14ac:dyDescent="0.3">
      <c r="A188" t="str" cm="1">
        <f t="array" ref="A188">_xlfn.LET(_xlpm.n,ROWS(A$2:A188),_xlpm.block,QUOTIENT(_xlpm.n-1,10),_xlpm.conceptRow,6+_xlpm.block*11,IF(INDEX(Curation!$A:$A,_xlpm.conceptRow)="","",INDEX(Curation!$A:$A,_xlpm.conceptRow)))</f>
        <v>kéz</v>
      </c>
      <c r="B188" t="s">
        <v>478</v>
      </c>
      <c r="C188" cm="1">
        <f t="array" ref="C188">_xlfn.LET(_xlpm.n,ROWS(C$2:C188),_xlpm.block,QUOTIENT(_xlpm.n-1,10),_xlpm.pos,MOD(_xlpm.n-1,10),_xlpm.conceptRow,6+_xlpm.block*11,_xlpm.srcRow,_xlpm.conceptRow+_xlpm.pos,IF(INDEX(Curation!$A:$A,_xlpm.conceptRow)="","",INDEX(Curation!$E:$E,_xlpm.srcRow)))</f>
        <v>6</v>
      </c>
      <c r="D188" cm="1">
        <f t="array" ref="D188">_xlfn.LET(_xlpm.n,ROWS(D$2:D188),_xlpm.block,QUOTIENT(_xlpm.n-1,10),_xlpm.pos,MOD(_xlpm.n-1,10),_xlpm.conceptRow,6+_xlpm.block*11,_xlpm.srcRow,_xlpm.conceptRow+_xlpm.pos,IF(INDEX(Curation!$A:$A,_xlpm.conceptRow)="","",INDEX(Curation!$F:$F,_xlpm.srcRow)))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89" spans="1:4" x14ac:dyDescent="0.3">
      <c r="A189" t="str" cm="1">
        <f t="array" ref="A189">_xlfn.LET(_xlpm.n,ROWS(A$2:A189),_xlpm.block,QUOTIENT(_xlpm.n-1,10),_xlpm.conceptRow,6+_xlpm.block*11,IF(INDEX(Curation!$A:$A,_xlpm.conceptRow)="","",INDEX(Curation!$A:$A,_xlpm.conceptRow)))</f>
        <v>kéz</v>
      </c>
      <c r="B189" t="s">
        <v>479</v>
      </c>
      <c r="C189" cm="1">
        <f t="array" ref="C189">_xlfn.LET(_xlpm.n,ROWS(C$2:C189),_xlpm.block,QUOTIENT(_xlpm.n-1,10),_xlpm.pos,MOD(_xlpm.n-1,10),_xlpm.conceptRow,6+_xlpm.block*11,_xlpm.srcRow,_xlpm.conceptRow+_xlpm.pos,IF(INDEX(Curation!$A:$A,_xlpm.conceptRow)="","",INDEX(Curation!$E:$E,_xlpm.srcRow)))</f>
        <v>1</v>
      </c>
      <c r="D189" cm="1">
        <f t="array" ref="D189">_xlfn.LET(_xlpm.n,ROWS(D$2:D189),_xlpm.block,QUOTIENT(_xlpm.n-1,10),_xlpm.pos,MOD(_xlpm.n-1,10),_xlpm.conceptRow,6+_xlpm.block*11,_xlpm.srcRow,_xlpm.conceptRow+_xlpm.pos,IF(INDEX(Curation!$A:$A,_xlpm.conceptRow)="","",INDEX(Curation!$F:$F,_xlpm.srcRow)))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90" spans="1:4" x14ac:dyDescent="0.3">
      <c r="A190" t="str" cm="1">
        <f t="array" ref="A190">_xlfn.LET(_xlpm.n,ROWS(A$2:A190),_xlpm.block,QUOTIENT(_xlpm.n-1,10),_xlpm.conceptRow,6+_xlpm.block*11,IF(INDEX(Curation!$A:$A,_xlpm.conceptRow)="","",INDEX(Curation!$A:$A,_xlpm.conceptRow)))</f>
        <v>kéz</v>
      </c>
      <c r="B190" t="s">
        <v>480</v>
      </c>
      <c r="C190" cm="1">
        <f t="array" ref="C190">_xlfn.LET(_xlpm.n,ROWS(C$2:C190),_xlpm.block,QUOTIENT(_xlpm.n-1,10),_xlpm.pos,MOD(_xlpm.n-1,10),_xlpm.conceptRow,6+_xlpm.block*11,_xlpm.srcRow,_xlpm.conceptRow+_xlpm.pos,IF(INDEX(Curation!$A:$A,_xlpm.conceptRow)="","",INDEX(Curation!$E:$E,_xlpm.srcRow)))</f>
        <v>1</v>
      </c>
      <c r="D190" cm="1">
        <f t="array" ref="D190">_xlfn.LET(_xlpm.n,ROWS(D$2:D190),_xlpm.block,QUOTIENT(_xlpm.n-1,10),_xlpm.pos,MOD(_xlpm.n-1,10),_xlpm.conceptRow,6+_xlpm.block*11,_xlpm.srcRow,_xlpm.conceptRow+_xlpm.pos,IF(INDEX(Curation!$A:$A,_xlpm.conceptRow)="","",INDEX(Curation!$F:$F,_xlpm.srcRow)))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191" spans="1:4" x14ac:dyDescent="0.3">
      <c r="A191" t="str" cm="1">
        <f t="array" ref="A191">_xlfn.LET(_xlpm.n,ROWS(A$2:A191),_xlpm.block,QUOTIENT(_xlpm.n-1,10),_xlpm.conceptRow,6+_xlpm.block*11,IF(INDEX(Curation!$A:$A,_xlpm.conceptRow)="","",INDEX(Curation!$A:$A,_xlpm.conceptRow)))</f>
        <v>kéz</v>
      </c>
      <c r="B191" t="s">
        <v>481</v>
      </c>
      <c r="C191" cm="1">
        <f t="array" ref="C191">_xlfn.LET(_xlpm.n,ROWS(C$2:C191),_xlpm.block,QUOTIENT(_xlpm.n-1,10),_xlpm.pos,MOD(_xlpm.n-1,10),_xlpm.conceptRow,6+_xlpm.block*11,_xlpm.srcRow,_xlpm.conceptRow+_xlpm.pos,IF(INDEX(Curation!$A:$A,_xlpm.conceptRow)="","",INDEX(Curation!$E:$E,_xlpm.srcRow)))</f>
        <v>8</v>
      </c>
      <c r="D191" cm="1">
        <f t="array" ref="D191">_xlfn.LET(_xlpm.n,ROWS(D$2:D191),_xlpm.block,QUOTIENT(_xlpm.n-1,10),_xlpm.pos,MOD(_xlpm.n-1,10),_xlpm.conceptRow,6+_xlpm.block*11,_xlpm.srcRow,_xlpm.conceptRow+_xlpm.pos,IF(INDEX(Curation!$A:$A,_xlpm.conceptRow)="","",INDEX(Curation!$F:$F,_xlpm.srcRow)))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92" spans="1:4" x14ac:dyDescent="0.3">
      <c r="A192" t="str" cm="1">
        <f t="array" ref="A192">_xlfn.LET(_xlpm.n,ROWS(A$2:A192),_xlpm.block,QUOTIENT(_xlpm.n-1,10),_xlpm.conceptRow,6+_xlpm.block*11,IF(INDEX(Curation!$A:$A,_xlpm.conceptRow)="","",INDEX(Curation!$A:$A,_xlpm.conceptRow)))</f>
        <v>könyv</v>
      </c>
      <c r="B192" t="s">
        <v>472</v>
      </c>
      <c r="C192" cm="1">
        <f t="array" ref="C192">_xlfn.LET(_xlpm.n,ROWS(C$2:C192),_xlpm.block,QUOTIENT(_xlpm.n-1,10),_xlpm.pos,MOD(_xlpm.n-1,10),_xlpm.conceptRow,6+_xlpm.block*11,_xlpm.srcRow,_xlpm.conceptRow+_xlpm.pos,IF(INDEX(Curation!$A:$A,_xlpm.conceptRow)="","",INDEX(Curation!$E:$E,_xlpm.srcRow)))</f>
        <v>3</v>
      </c>
      <c r="D192" cm="1">
        <f t="array" ref="D192">_xlfn.LET(_xlpm.n,ROWS(D$2:D192),_xlpm.block,QUOTIENT(_xlpm.n-1,10),_xlpm.pos,MOD(_xlpm.n-1,10),_xlpm.conceptRow,6+_xlpm.block*11,_xlpm.srcRow,_xlpm.conceptRow+_xlpm.pos,IF(INDEX(Curation!$A:$A,_xlpm.conceptRow)="","",INDEX(Curation!$F:$F,_xlpm.srcRow)))</f>
        <v>0.14299999999999999</v>
      </c>
    </row>
    <row r="193" spans="1:4" x14ac:dyDescent="0.3">
      <c r="A193" t="str" cm="1">
        <f t="array" ref="A193">_xlfn.LET(_xlpm.n,ROWS(A$2:A193),_xlpm.block,QUOTIENT(_xlpm.n-1,10),_xlpm.conceptRow,6+_xlpm.block*11,IF(INDEX(Curation!$A:$A,_xlpm.conceptRow)="","",INDEX(Curation!$A:$A,_xlpm.conceptRow)))</f>
        <v>könyv</v>
      </c>
      <c r="B193" t="s">
        <v>473</v>
      </c>
      <c r="C193" cm="1">
        <f t="array" ref="C193">_xlfn.LET(_xlpm.n,ROWS(C$2:C193),_xlpm.block,QUOTIENT(_xlpm.n-1,10),_xlpm.pos,MOD(_xlpm.n-1,10),_xlpm.conceptRow,6+_xlpm.block*11,_xlpm.srcRow,_xlpm.conceptRow+_xlpm.pos,IF(INDEX(Curation!$A:$A,_xlpm.conceptRow)="","",INDEX(Curation!$E:$E,_xlpm.srcRow)))</f>
        <v>2</v>
      </c>
      <c r="D193" cm="1">
        <f t="array" ref="D193">_xlfn.LET(_xlpm.n,ROWS(D$2:D193),_xlpm.block,QUOTIENT(_xlpm.n-1,10),_xlpm.pos,MOD(_xlpm.n-1,10),_xlpm.conceptRow,6+_xlpm.block*11,_xlpm.srcRow,_xlpm.conceptRow+_xlpm.pos,IF(INDEX(Curation!$A:$A,_xlpm.conceptRow)="","",INDEX(Curation!$F:$F,_xlpm.srcRow)))</f>
        <v>0.125</v>
      </c>
    </row>
    <row r="194" spans="1:4" x14ac:dyDescent="0.3">
      <c r="A194" t="str" cm="1">
        <f t="array" ref="A194">_xlfn.LET(_xlpm.n,ROWS(A$2:A194),_xlpm.block,QUOTIENT(_xlpm.n-1,10),_xlpm.conceptRow,6+_xlpm.block*11,IF(INDEX(Curation!$A:$A,_xlpm.conceptRow)="","",INDEX(Curation!$A:$A,_xlpm.conceptRow)))</f>
        <v>könyv</v>
      </c>
      <c r="B194" t="s">
        <v>474</v>
      </c>
      <c r="C194" cm="1">
        <f t="array" ref="C194">_xlfn.LET(_xlpm.n,ROWS(C$2:C194),_xlpm.block,QUOTIENT(_xlpm.n-1,10),_xlpm.pos,MOD(_xlpm.n-1,10),_xlpm.conceptRow,6+_xlpm.block*11,_xlpm.srcRow,_xlpm.conceptRow+_xlpm.pos,IF(INDEX(Curation!$A:$A,_xlpm.conceptRow)="","",INDEX(Curation!$E:$E,_xlpm.srcRow)))</f>
        <v>1</v>
      </c>
      <c r="D194" cm="1">
        <f t="array" ref="D194">_xlfn.LET(_xlpm.n,ROWS(D$2:D194),_xlpm.block,QUOTIENT(_xlpm.n-1,10),_xlpm.pos,MOD(_xlpm.n-1,10),_xlpm.conceptRow,6+_xlpm.block*11,_xlpm.srcRow,_xlpm.conceptRow+_xlpm.pos,IF(INDEX(Curation!$A:$A,_xlpm.conceptRow)="","",INDEX(Curation!$F:$F,_xlpm.srcRow)))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95" spans="1:4" x14ac:dyDescent="0.3">
      <c r="A195" t="str" cm="1">
        <f t="array" ref="A195">_xlfn.LET(_xlpm.n,ROWS(A$2:A195),_xlpm.block,QUOTIENT(_xlpm.n-1,10),_xlpm.conceptRow,6+_xlpm.block*11,IF(INDEX(Curation!$A:$A,_xlpm.conceptRow)="","",INDEX(Curation!$A:$A,_xlpm.conceptRow)))</f>
        <v>könyv</v>
      </c>
      <c r="B195" t="s">
        <v>475</v>
      </c>
      <c r="C195" cm="1">
        <f t="array" ref="C195">_xlfn.LET(_xlpm.n,ROWS(C$2:C195),_xlpm.block,QUOTIENT(_xlpm.n-1,10),_xlpm.pos,MOD(_xlpm.n-1,10),_xlpm.conceptRow,6+_xlpm.block*11,_xlpm.srcRow,_xlpm.conceptRow+_xlpm.pos,IF(INDEX(Curation!$A:$A,_xlpm.conceptRow)="","",INDEX(Curation!$E:$E,_xlpm.srcRow)))</f>
        <v>4</v>
      </c>
      <c r="D195" cm="1">
        <f t="array" ref="D195">_xlfn.LET(_xlpm.n,ROWS(D$2:D195),_xlpm.block,QUOTIENT(_xlpm.n-1,10),_xlpm.pos,MOD(_xlpm.n-1,10),_xlpm.conceptRow,6+_xlpm.block*11,_xlpm.srcRow,_xlpm.conceptRow+_xlpm.pos,IF(INDEX(Curation!$A:$A,_xlpm.conceptRow)="","",INDEX(Curation!$F:$F,_xlpm.srcRow)))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96" spans="1:4" x14ac:dyDescent="0.3">
      <c r="A196" t="str" cm="1">
        <f t="array" ref="A196">_xlfn.LET(_xlpm.n,ROWS(A$2:A196),_xlpm.block,QUOTIENT(_xlpm.n-1,10),_xlpm.conceptRow,6+_xlpm.block*11,IF(INDEX(Curation!$A:$A,_xlpm.conceptRow)="","",INDEX(Curation!$A:$A,_xlpm.conceptRow)))</f>
        <v>könyv</v>
      </c>
      <c r="B196" t="s">
        <v>476</v>
      </c>
      <c r="C196" cm="1">
        <f t="array" ref="C196">_xlfn.LET(_xlpm.n,ROWS(C$2:C196),_xlpm.block,QUOTIENT(_xlpm.n-1,10),_xlpm.pos,MOD(_xlpm.n-1,10),_xlpm.conceptRow,6+_xlpm.block*11,_xlpm.srcRow,_xlpm.conceptRow+_xlpm.pos,IF(INDEX(Curation!$A:$A,_xlpm.conceptRow)="","",INDEX(Curation!$E:$E,_xlpm.srcRow)))</f>
        <v>5</v>
      </c>
      <c r="D196" cm="1">
        <f t="array" ref="D196">_xlfn.LET(_xlpm.n,ROWS(D$2:D196),_xlpm.block,QUOTIENT(_xlpm.n-1,10),_xlpm.pos,MOD(_xlpm.n-1,10),_xlpm.conceptRow,6+_xlpm.block*11,_xlpm.srcRow,_xlpm.conceptRow+_xlpm.pos,IF(INDEX(Curation!$A:$A,_xlpm.conceptRow)="","",INDEX(Curation!$F:$F,_xlpm.srcRow)))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197" spans="1:4" x14ac:dyDescent="0.3">
      <c r="A197" t="str" cm="1">
        <f t="array" ref="A197">_xlfn.LET(_xlpm.n,ROWS(A$2:A197),_xlpm.block,QUOTIENT(_xlpm.n-1,10),_xlpm.conceptRow,6+_xlpm.block*11,IF(INDEX(Curation!$A:$A,_xlpm.conceptRow)="","",INDEX(Curation!$A:$A,_xlpm.conceptRow)))</f>
        <v>könyv</v>
      </c>
      <c r="B197" t="s">
        <v>477</v>
      </c>
      <c r="C197" cm="1">
        <f t="array" ref="C197">_xlfn.LET(_xlpm.n,ROWS(C$2:C197),_xlpm.block,QUOTIENT(_xlpm.n-1,10),_xlpm.pos,MOD(_xlpm.n-1,10),_xlpm.conceptRow,6+_xlpm.block*11,_xlpm.srcRow,_xlpm.conceptRow+_xlpm.pos,IF(INDEX(Curation!$A:$A,_xlpm.conceptRow)="","",INDEX(Curation!$E:$E,_xlpm.srcRow)))</f>
        <v>3</v>
      </c>
      <c r="D197" cm="1">
        <f t="array" ref="D197">_xlfn.LET(_xlpm.n,ROWS(D$2:D197),_xlpm.block,QUOTIENT(_xlpm.n-1,10),_xlpm.pos,MOD(_xlpm.n-1,10),_xlpm.conceptRow,6+_xlpm.block*11,_xlpm.srcRow,_xlpm.conceptRow+_xlpm.pos,IF(INDEX(Curation!$A:$A,_xlpm.conceptRow)="","",INDEX(Curation!$F:$F,_xlpm.srcRow)))</f>
        <v>0.16700000000000001</v>
      </c>
    </row>
    <row r="198" spans="1:4" x14ac:dyDescent="0.3">
      <c r="A198" t="str" cm="1">
        <f t="array" ref="A198">_xlfn.LET(_xlpm.n,ROWS(A$2:A198),_xlpm.block,QUOTIENT(_xlpm.n-1,10),_xlpm.conceptRow,6+_xlpm.block*11,IF(INDEX(Curation!$A:$A,_xlpm.conceptRow)="","",INDEX(Curation!$A:$A,_xlpm.conceptRow)))</f>
        <v>könyv</v>
      </c>
      <c r="B198" t="s">
        <v>478</v>
      </c>
      <c r="C198" cm="1">
        <f t="array" ref="C198">_xlfn.LET(_xlpm.n,ROWS(C$2:C198),_xlpm.block,QUOTIENT(_xlpm.n-1,10),_xlpm.pos,MOD(_xlpm.n-1,10),_xlpm.conceptRow,6+_xlpm.block*11,_xlpm.srcRow,_xlpm.conceptRow+_xlpm.pos,IF(INDEX(Curation!$A:$A,_xlpm.conceptRow)="","",INDEX(Curation!$E:$E,_xlpm.srcRow)))</f>
        <v>3</v>
      </c>
      <c r="D198" cm="1">
        <f t="array" ref="D198">_xlfn.LET(_xlpm.n,ROWS(D$2:D198),_xlpm.block,QUOTIENT(_xlpm.n-1,10),_xlpm.pos,MOD(_xlpm.n-1,10),_xlpm.conceptRow,6+_xlpm.block*11,_xlpm.srcRow,_xlpm.conceptRow+_xlpm.pos,IF(INDEX(Curation!$A:$A,_xlpm.conceptRow)="","",INDEX(Curation!$F:$F,_xlpm.srcRow)))</f>
        <v>0.14299999999999999</v>
      </c>
    </row>
    <row r="199" spans="1:4" x14ac:dyDescent="0.3">
      <c r="A199" t="str" cm="1">
        <f t="array" ref="A199">_xlfn.LET(_xlpm.n,ROWS(A$2:A199),_xlpm.block,QUOTIENT(_xlpm.n-1,10),_xlpm.conceptRow,6+_xlpm.block*11,IF(INDEX(Curation!$A:$A,_xlpm.conceptRow)="","",INDEX(Curation!$A:$A,_xlpm.conceptRow)))</f>
        <v>könyv</v>
      </c>
      <c r="B199" t="s">
        <v>479</v>
      </c>
      <c r="C199" cm="1">
        <f t="array" ref="C199">_xlfn.LET(_xlpm.n,ROWS(C$2:C199),_xlpm.block,QUOTIENT(_xlpm.n-1,10),_xlpm.pos,MOD(_xlpm.n-1,10),_xlpm.conceptRow,6+_xlpm.block*11,_xlpm.srcRow,_xlpm.conceptRow+_xlpm.pos,IF(INDEX(Curation!$A:$A,_xlpm.conceptRow)="","",INDEX(Curation!$E:$E,_xlpm.srcRow)))</f>
        <v>3</v>
      </c>
      <c r="D199" cm="1">
        <f t="array" ref="D199">_xlfn.LET(_xlpm.n,ROWS(D$2:D199),_xlpm.block,QUOTIENT(_xlpm.n-1,10),_xlpm.pos,MOD(_xlpm.n-1,10),_xlpm.conceptRow,6+_xlpm.block*11,_xlpm.srcRow,_xlpm.conceptRow+_xlpm.pos,IF(INDEX(Curation!$A:$A,_xlpm.conceptRow)="","",INDEX(Curation!$F:$F,_xlpm.srcRow)))</f>
        <v>9.0999999999999998E-2</v>
      </c>
    </row>
    <row r="200" spans="1:4" x14ac:dyDescent="0.3">
      <c r="A200" t="str" cm="1">
        <f t="array" ref="A200">_xlfn.LET(_xlpm.n,ROWS(A$2:A200),_xlpm.block,QUOTIENT(_xlpm.n-1,10),_xlpm.conceptRow,6+_xlpm.block*11,IF(INDEX(Curation!$A:$A,_xlpm.conceptRow)="","",INDEX(Curation!$A:$A,_xlpm.conceptRow)))</f>
        <v>könyv</v>
      </c>
      <c r="B200" t="s">
        <v>480</v>
      </c>
      <c r="C200" cm="1">
        <f t="array" ref="C200">_xlfn.LET(_xlpm.n,ROWS(C$2:C200),_xlpm.block,QUOTIENT(_xlpm.n-1,10),_xlpm.pos,MOD(_xlpm.n-1,10),_xlpm.conceptRow,6+_xlpm.block*11,_xlpm.srcRow,_xlpm.conceptRow+_xlpm.pos,IF(INDEX(Curation!$A:$A,_xlpm.conceptRow)="","",INDEX(Curation!$E:$E,_xlpm.srcRow)))</f>
        <v>6</v>
      </c>
      <c r="D200" cm="1">
        <f t="array" ref="D200">_xlfn.LET(_xlpm.n,ROWS(D$2:D200),_xlpm.block,QUOTIENT(_xlpm.n-1,10),_xlpm.pos,MOD(_xlpm.n-1,10),_xlpm.conceptRow,6+_xlpm.block*11,_xlpm.srcRow,_xlpm.conceptRow+_xlpm.pos,IF(INDEX(Curation!$A:$A,_xlpm.conceptRow)="","",INDEX(Curation!$F:$F,_xlpm.srcRow)))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01" spans="1:4" x14ac:dyDescent="0.3">
      <c r="A201" t="str" cm="1">
        <f t="array" ref="A201">_xlfn.LET(_xlpm.n,ROWS(A$2:A201),_xlpm.block,QUOTIENT(_xlpm.n-1,10),_xlpm.conceptRow,6+_xlpm.block*11,IF(INDEX(Curation!$A:$A,_xlpm.conceptRow)="","",INDEX(Curation!$A:$A,_xlpm.conceptRow)))</f>
        <v>könyv</v>
      </c>
      <c r="B201" t="s">
        <v>481</v>
      </c>
      <c r="C201" cm="1">
        <f t="array" ref="C201">_xlfn.LET(_xlpm.n,ROWS(C$2:C201),_xlpm.block,QUOTIENT(_xlpm.n-1,10),_xlpm.pos,MOD(_xlpm.n-1,10),_xlpm.conceptRow,6+_xlpm.block*11,_xlpm.srcRow,_xlpm.conceptRow+_xlpm.pos,IF(INDEX(Curation!$A:$A,_xlpm.conceptRow)="","",INDEX(Curation!$E:$E,_xlpm.srcRow)))</f>
        <v>24</v>
      </c>
      <c r="D201" cm="1">
        <f t="array" ref="D201">_xlfn.LET(_xlpm.n,ROWS(D$2:D201),_xlpm.block,QUOTIENT(_xlpm.n-1,10),_xlpm.pos,MOD(_xlpm.n-1,10),_xlpm.conceptRow,6+_xlpm.block*11,_xlpm.srcRow,_xlpm.conceptRow+_xlpm.pos,IF(INDEX(Curation!$A:$A,_xlpm.conceptRow)="","",INDEX(Curation!$F:$F,_xlpm.srcRow)))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202" spans="1:4" x14ac:dyDescent="0.3">
      <c r="A202" t="str" cm="1">
        <f t="array" ref="A202">_xlfn.LET(_xlpm.n,ROWS(A$2:A202),_xlpm.block,QUOTIENT(_xlpm.n-1,10),_xlpm.conceptRow,6+_xlpm.block*11,IF(INDEX(Curation!$A:$A,_xlpm.conceptRow)="","",INDEX(Curation!$A:$A,_xlpm.conceptRow)))</f>
        <v>láb</v>
      </c>
      <c r="B202" t="s">
        <v>472</v>
      </c>
      <c r="C202" cm="1">
        <f t="array" ref="C202">_xlfn.LET(_xlpm.n,ROWS(C$2:C202),_xlpm.block,QUOTIENT(_xlpm.n-1,10),_xlpm.pos,MOD(_xlpm.n-1,10),_xlpm.conceptRow,6+_xlpm.block*11,_xlpm.srcRow,_xlpm.conceptRow+_xlpm.pos,IF(INDEX(Curation!$A:$A,_xlpm.conceptRow)="","",INDEX(Curation!$E:$E,_xlpm.srcRow)))</f>
        <v>3</v>
      </c>
      <c r="D202" cm="1">
        <f t="array" ref="D202">_xlfn.LET(_xlpm.n,ROWS(D$2:D202),_xlpm.block,QUOTIENT(_xlpm.n-1,10),_xlpm.pos,MOD(_xlpm.n-1,10),_xlpm.conceptRow,6+_xlpm.block*11,_xlpm.srcRow,_xlpm.conceptRow+_xlpm.pos,IF(INDEX(Curation!$A:$A,_xlpm.conceptRow)="","",INDEX(Curation!$F:$F,_xlpm.srcRow)))</f>
        <v>0.1</v>
      </c>
    </row>
    <row r="203" spans="1:4" x14ac:dyDescent="0.3">
      <c r="A203" t="str" cm="1">
        <f t="array" ref="A203">_xlfn.LET(_xlpm.n,ROWS(A$2:A203),_xlpm.block,QUOTIENT(_xlpm.n-1,10),_xlpm.conceptRow,6+_xlpm.block*11,IF(INDEX(Curation!$A:$A,_xlpm.conceptRow)="","",INDEX(Curation!$A:$A,_xlpm.conceptRow)))</f>
        <v>láb</v>
      </c>
      <c r="B203" t="s">
        <v>473</v>
      </c>
      <c r="C203" cm="1">
        <f t="array" ref="C203">_xlfn.LET(_xlpm.n,ROWS(C$2:C203),_xlpm.block,QUOTIENT(_xlpm.n-1,10),_xlpm.pos,MOD(_xlpm.n-1,10),_xlpm.conceptRow,6+_xlpm.block*11,_xlpm.srcRow,_xlpm.conceptRow+_xlpm.pos,IF(INDEX(Curation!$A:$A,_xlpm.conceptRow)="","",INDEX(Curation!$E:$E,_xlpm.srcRow)))</f>
        <v>3</v>
      </c>
      <c r="D203" cm="1">
        <f t="array" ref="D203">_xlfn.LET(_xlpm.n,ROWS(D$2:D203),_xlpm.block,QUOTIENT(_xlpm.n-1,10),_xlpm.pos,MOD(_xlpm.n-1,10),_xlpm.conceptRow,6+_xlpm.block*11,_xlpm.srcRow,_xlpm.conceptRow+_xlpm.pos,IF(INDEX(Curation!$A:$A,_xlpm.conceptRow)="","",INDEX(Curation!$F:$F,_xlpm.srcRow)))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04" spans="1:4" x14ac:dyDescent="0.3">
      <c r="A204" t="str" cm="1">
        <f t="array" ref="A204">_xlfn.LET(_xlpm.n,ROWS(A$2:A204),_xlpm.block,QUOTIENT(_xlpm.n-1,10),_xlpm.conceptRow,6+_xlpm.block*11,IF(INDEX(Curation!$A:$A,_xlpm.conceptRow)="","",INDEX(Curation!$A:$A,_xlpm.conceptRow)))</f>
        <v>láb</v>
      </c>
      <c r="B204" t="s">
        <v>474</v>
      </c>
      <c r="C204" cm="1">
        <f t="array" ref="C204">_xlfn.LET(_xlpm.n,ROWS(C$2:C204),_xlpm.block,QUOTIENT(_xlpm.n-1,10),_xlpm.pos,MOD(_xlpm.n-1,10),_xlpm.conceptRow,6+_xlpm.block*11,_xlpm.srcRow,_xlpm.conceptRow+_xlpm.pos,IF(INDEX(Curation!$A:$A,_xlpm.conceptRow)="","",INDEX(Curation!$E:$E,_xlpm.srcRow)))</f>
        <v>11</v>
      </c>
      <c r="D204" cm="1">
        <f t="array" ref="D204">_xlfn.LET(_xlpm.n,ROWS(D$2:D204),_xlpm.block,QUOTIENT(_xlpm.n-1,10),_xlpm.pos,MOD(_xlpm.n-1,10),_xlpm.conceptRow,6+_xlpm.block*11,_xlpm.srcRow,_xlpm.conceptRow+_xlpm.pos,IF(INDEX(Curation!$A:$A,_xlpm.conceptRow)="","",INDEX(Curation!$F:$F,_xlpm.srcRow)))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205" spans="1:4" x14ac:dyDescent="0.3">
      <c r="A205" t="str" cm="1">
        <f t="array" ref="A205">_xlfn.LET(_xlpm.n,ROWS(A$2:A205),_xlpm.block,QUOTIENT(_xlpm.n-1,10),_xlpm.conceptRow,6+_xlpm.block*11,IF(INDEX(Curation!$A:$A,_xlpm.conceptRow)="","",INDEX(Curation!$A:$A,_xlpm.conceptRow)))</f>
        <v>láb</v>
      </c>
      <c r="B205" t="s">
        <v>475</v>
      </c>
      <c r="C205" cm="1">
        <f t="array" ref="C205">_xlfn.LET(_xlpm.n,ROWS(C$2:C205),_xlpm.block,QUOTIENT(_xlpm.n-1,10),_xlpm.pos,MOD(_xlpm.n-1,10),_xlpm.conceptRow,6+_xlpm.block*11,_xlpm.srcRow,_xlpm.conceptRow+_xlpm.pos,IF(INDEX(Curation!$A:$A,_xlpm.conceptRow)="","",INDEX(Curation!$E:$E,_xlpm.srcRow)))</f>
        <v>18</v>
      </c>
      <c r="D205" cm="1">
        <f t="array" ref="D205">_xlfn.LET(_xlpm.n,ROWS(D$2:D205),_xlpm.block,QUOTIENT(_xlpm.n-1,10),_xlpm.pos,MOD(_xlpm.n-1,10),_xlpm.conceptRow,6+_xlpm.block*11,_xlpm.srcRow,_xlpm.conceptRow+_xlpm.pos,IF(INDEX(Curation!$A:$A,_xlpm.conceptRow)="","",INDEX(Curation!$F:$F,_xlpm.srcRow)))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206" spans="1:4" x14ac:dyDescent="0.3">
      <c r="A206" t="str" cm="1">
        <f t="array" ref="A206">_xlfn.LET(_xlpm.n,ROWS(A$2:A206),_xlpm.block,QUOTIENT(_xlpm.n-1,10),_xlpm.conceptRow,6+_xlpm.block*11,IF(INDEX(Curation!$A:$A,_xlpm.conceptRow)="","",INDEX(Curation!$A:$A,_xlpm.conceptRow)))</f>
        <v>láb</v>
      </c>
      <c r="B206" t="s">
        <v>476</v>
      </c>
      <c r="C206" cm="1">
        <f t="array" ref="C206">_xlfn.LET(_xlpm.n,ROWS(C$2:C206),_xlpm.block,QUOTIENT(_xlpm.n-1,10),_xlpm.pos,MOD(_xlpm.n-1,10),_xlpm.conceptRow,6+_xlpm.block*11,_xlpm.srcRow,_xlpm.conceptRow+_xlpm.pos,IF(INDEX(Curation!$A:$A,_xlpm.conceptRow)="","",INDEX(Curation!$E:$E,_xlpm.srcRow)))</f>
        <v>11</v>
      </c>
      <c r="D206" cm="1">
        <f t="array" ref="D206">_xlfn.LET(_xlpm.n,ROWS(D$2:D206),_xlpm.block,QUOTIENT(_xlpm.n-1,10),_xlpm.pos,MOD(_xlpm.n-1,10),_xlpm.conceptRow,6+_xlpm.block*11,_xlpm.srcRow,_xlpm.conceptRow+_xlpm.pos,IF(INDEX(Curation!$A:$A,_xlpm.conceptRow)="","",INDEX(Curation!$F:$F,_xlpm.srcRow)))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07" spans="1:4" x14ac:dyDescent="0.3">
      <c r="A207" t="str" cm="1">
        <f t="array" ref="A207">_xlfn.LET(_xlpm.n,ROWS(A$2:A207),_xlpm.block,QUOTIENT(_xlpm.n-1,10),_xlpm.conceptRow,6+_xlpm.block*11,IF(INDEX(Curation!$A:$A,_xlpm.conceptRow)="","",INDEX(Curation!$A:$A,_xlpm.conceptRow)))</f>
        <v>láb</v>
      </c>
      <c r="B207" t="s">
        <v>477</v>
      </c>
      <c r="C207" cm="1">
        <f t="array" ref="C207">_xlfn.LET(_xlpm.n,ROWS(C$2:C207),_xlpm.block,QUOTIENT(_xlpm.n-1,10),_xlpm.pos,MOD(_xlpm.n-1,10),_xlpm.conceptRow,6+_xlpm.block*11,_xlpm.srcRow,_xlpm.conceptRow+_xlpm.pos,IF(INDEX(Curation!$A:$A,_xlpm.conceptRow)="","",INDEX(Curation!$E:$E,_xlpm.srcRow)))</f>
        <v>7</v>
      </c>
      <c r="D207" cm="1">
        <f t="array" ref="D207">_xlfn.LET(_xlpm.n,ROWS(D$2:D207),_xlpm.block,QUOTIENT(_xlpm.n-1,10),_xlpm.pos,MOD(_xlpm.n-1,10),_xlpm.conceptRow,6+_xlpm.block*11,_xlpm.srcRow,_xlpm.conceptRow+_xlpm.pos,IF(INDEX(Curation!$A:$A,_xlpm.conceptRow)="","",INDEX(Curation!$F:$F,_xlpm.srcRow)))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08" spans="1:4" x14ac:dyDescent="0.3">
      <c r="A208" t="str" cm="1">
        <f t="array" ref="A208">_xlfn.LET(_xlpm.n,ROWS(A$2:A208),_xlpm.block,QUOTIENT(_xlpm.n-1,10),_xlpm.conceptRow,6+_xlpm.block*11,IF(INDEX(Curation!$A:$A,_xlpm.conceptRow)="","",INDEX(Curation!$A:$A,_xlpm.conceptRow)))</f>
        <v>láb</v>
      </c>
      <c r="B208" t="s">
        <v>478</v>
      </c>
      <c r="C208" cm="1">
        <f t="array" ref="C208">_xlfn.LET(_xlpm.n,ROWS(C$2:C208),_xlpm.block,QUOTIENT(_xlpm.n-1,10),_xlpm.pos,MOD(_xlpm.n-1,10),_xlpm.conceptRow,6+_xlpm.block*11,_xlpm.srcRow,_xlpm.conceptRow+_xlpm.pos,IF(INDEX(Curation!$A:$A,_xlpm.conceptRow)="","",INDEX(Curation!$E:$E,_xlpm.srcRow)))</f>
        <v>3</v>
      </c>
      <c r="D208" cm="1">
        <f t="array" ref="D208">_xlfn.LET(_xlpm.n,ROWS(D$2:D208),_xlpm.block,QUOTIENT(_xlpm.n-1,10),_xlpm.pos,MOD(_xlpm.n-1,10),_xlpm.conceptRow,6+_xlpm.block*11,_xlpm.srcRow,_xlpm.conceptRow+_xlpm.pos,IF(INDEX(Curation!$A:$A,_xlpm.conceptRow)="","",INDEX(Curation!$F:$F,_xlpm.srcRow)))</f>
        <v>9.0999999999999998E-2</v>
      </c>
    </row>
    <row r="209" spans="1:4" x14ac:dyDescent="0.3">
      <c r="A209" t="str" cm="1">
        <f t="array" ref="A209">_xlfn.LET(_xlpm.n,ROWS(A$2:A209),_xlpm.block,QUOTIENT(_xlpm.n-1,10),_xlpm.conceptRow,6+_xlpm.block*11,IF(INDEX(Curation!$A:$A,_xlpm.conceptRow)="","",INDEX(Curation!$A:$A,_xlpm.conceptRow)))</f>
        <v>láb</v>
      </c>
      <c r="B209" t="s">
        <v>479</v>
      </c>
      <c r="C209" cm="1">
        <f t="array" ref="C209">_xlfn.LET(_xlpm.n,ROWS(C$2:C209),_xlpm.block,QUOTIENT(_xlpm.n-1,10),_xlpm.pos,MOD(_xlpm.n-1,10),_xlpm.conceptRow,6+_xlpm.block*11,_xlpm.srcRow,_xlpm.conceptRow+_xlpm.pos,IF(INDEX(Curation!$A:$A,_xlpm.conceptRow)="","",INDEX(Curation!$E:$E,_xlpm.srcRow)))</f>
        <v>2</v>
      </c>
      <c r="D209" cm="1">
        <f t="array" ref="D209">_xlfn.LET(_xlpm.n,ROWS(D$2:D209),_xlpm.block,QUOTIENT(_xlpm.n-1,10),_xlpm.pos,MOD(_xlpm.n-1,10),_xlpm.conceptRow,6+_xlpm.block*11,_xlpm.srcRow,_xlpm.conceptRow+_xlpm.pos,IF(INDEX(Curation!$A:$A,_xlpm.conceptRow)="","",INDEX(Curation!$F:$F,_xlpm.srcRow)))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10" spans="1:4" x14ac:dyDescent="0.3">
      <c r="A210" t="str" cm="1">
        <f t="array" ref="A210">_xlfn.LET(_xlpm.n,ROWS(A$2:A210),_xlpm.block,QUOTIENT(_xlpm.n-1,10),_xlpm.conceptRow,6+_xlpm.block*11,IF(INDEX(Curation!$A:$A,_xlpm.conceptRow)="","",INDEX(Curation!$A:$A,_xlpm.conceptRow)))</f>
        <v>láb</v>
      </c>
      <c r="B210" t="s">
        <v>480</v>
      </c>
      <c r="C210" cm="1">
        <f t="array" ref="C210">_xlfn.LET(_xlpm.n,ROWS(C$2:C210),_xlpm.block,QUOTIENT(_xlpm.n-1,10),_xlpm.pos,MOD(_xlpm.n-1,10),_xlpm.conceptRow,6+_xlpm.block*11,_xlpm.srcRow,_xlpm.conceptRow+_xlpm.pos,IF(INDEX(Curation!$A:$A,_xlpm.conceptRow)="","",INDEX(Curation!$E:$E,_xlpm.srcRow)))</f>
        <v>1</v>
      </c>
      <c r="D210" cm="1">
        <f t="array" ref="D210">_xlfn.LET(_xlpm.n,ROWS(D$2:D210),_xlpm.block,QUOTIENT(_xlpm.n-1,10),_xlpm.pos,MOD(_xlpm.n-1,10),_xlpm.conceptRow,6+_xlpm.block*11,_xlpm.srcRow,_xlpm.conceptRow+_xlpm.pos,IF(INDEX(Curation!$A:$A,_xlpm.conceptRow)="","",INDEX(Curation!$F:$F,_xlpm.srcRow)))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211" spans="1:4" x14ac:dyDescent="0.3">
      <c r="A211" t="str" cm="1">
        <f t="array" ref="A211">_xlfn.LET(_xlpm.n,ROWS(A$2:A211),_xlpm.block,QUOTIENT(_xlpm.n-1,10),_xlpm.conceptRow,6+_xlpm.block*11,IF(INDEX(Curation!$A:$A,_xlpm.conceptRow)="","",INDEX(Curation!$A:$A,_xlpm.conceptRow)))</f>
        <v>láb</v>
      </c>
      <c r="B211" t="s">
        <v>481</v>
      </c>
      <c r="C211" cm="1">
        <f t="array" ref="C211">_xlfn.LET(_xlpm.n,ROWS(C$2:C211),_xlpm.block,QUOTIENT(_xlpm.n-1,10),_xlpm.pos,MOD(_xlpm.n-1,10),_xlpm.conceptRow,6+_xlpm.block*11,_xlpm.srcRow,_xlpm.conceptRow+_xlpm.pos,IF(INDEX(Curation!$A:$A,_xlpm.conceptRow)="","",INDEX(Curation!$E:$E,_xlpm.srcRow)))</f>
        <v>2</v>
      </c>
      <c r="D211" cm="1">
        <f t="array" ref="D211">_xlfn.LET(_xlpm.n,ROWS(D$2:D211),_xlpm.block,QUOTIENT(_xlpm.n-1,10),_xlpm.pos,MOD(_xlpm.n-1,10),_xlpm.conceptRow,6+_xlpm.block*11,_xlpm.srcRow,_xlpm.conceptRow+_xlpm.pos,IF(INDEX(Curation!$A:$A,_xlpm.conceptRow)="","",INDEX(Curation!$F:$F,_xlpm.srcRow)))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212" spans="1:4" x14ac:dyDescent="0.3">
      <c r="A212" t="str" cm="1">
        <f t="array" ref="A212">_xlfn.LET(_xlpm.n,ROWS(A$2:A212),_xlpm.block,QUOTIENT(_xlpm.n-1,10),_xlpm.conceptRow,6+_xlpm.block*11,IF(INDEX(Curation!$A:$A,_xlpm.conceptRow)="","",INDEX(Curation!$A:$A,_xlpm.conceptRow)))</f>
        <v>ló</v>
      </c>
      <c r="B212" t="s">
        <v>472</v>
      </c>
      <c r="C212" cm="1">
        <f t="array" ref="C212">_xlfn.LET(_xlpm.n,ROWS(C$2:C212),_xlpm.block,QUOTIENT(_xlpm.n-1,10),_xlpm.pos,MOD(_xlpm.n-1,10),_xlpm.conceptRow,6+_xlpm.block*11,_xlpm.srcRow,_xlpm.conceptRow+_xlpm.pos,IF(INDEX(Curation!$A:$A,_xlpm.conceptRow)="","",INDEX(Curation!$E:$E,_xlpm.srcRow)))</f>
        <v>2</v>
      </c>
      <c r="D212" cm="1">
        <f t="array" ref="D212">_xlfn.LET(_xlpm.n,ROWS(D$2:D212),_xlpm.block,QUOTIENT(_xlpm.n-1,10),_xlpm.pos,MOD(_xlpm.n-1,10),_xlpm.conceptRow,6+_xlpm.block*11,_xlpm.srcRow,_xlpm.conceptRow+_xlpm.pos,IF(INDEX(Curation!$A:$A,_xlpm.conceptRow)="","",INDEX(Curation!$F:$F,_xlpm.srcRow)))</f>
        <v>0.16700000000000001</v>
      </c>
    </row>
    <row r="213" spans="1:4" x14ac:dyDescent="0.3">
      <c r="A213" t="str" cm="1">
        <f t="array" ref="A213">_xlfn.LET(_xlpm.n,ROWS(A$2:A213),_xlpm.block,QUOTIENT(_xlpm.n-1,10),_xlpm.conceptRow,6+_xlpm.block*11,IF(INDEX(Curation!$A:$A,_xlpm.conceptRow)="","",INDEX(Curation!$A:$A,_xlpm.conceptRow)))</f>
        <v>ló</v>
      </c>
      <c r="B213" t="s">
        <v>473</v>
      </c>
      <c r="C213" cm="1">
        <f t="array" ref="C213">_xlfn.LET(_xlpm.n,ROWS(C$2:C213),_xlpm.block,QUOTIENT(_xlpm.n-1,10),_xlpm.pos,MOD(_xlpm.n-1,10),_xlpm.conceptRow,6+_xlpm.block*11,_xlpm.srcRow,_xlpm.conceptRow+_xlpm.pos,IF(INDEX(Curation!$A:$A,_xlpm.conceptRow)="","",INDEX(Curation!$E:$E,_xlpm.srcRow)))</f>
        <v>9</v>
      </c>
      <c r="D213" cm="1">
        <f t="array" ref="D213">_xlfn.LET(_xlpm.n,ROWS(D$2:D213),_xlpm.block,QUOTIENT(_xlpm.n-1,10),_xlpm.pos,MOD(_xlpm.n-1,10),_xlpm.conceptRow,6+_xlpm.block*11,_xlpm.srcRow,_xlpm.conceptRow+_xlpm.pos,IF(INDEX(Curation!$A:$A,_xlpm.conceptRow)="","",INDEX(Curation!$F:$F,_xlpm.srcRow)))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214" spans="1:4" x14ac:dyDescent="0.3">
      <c r="A214" t="str" cm="1">
        <f t="array" ref="A214">_xlfn.LET(_xlpm.n,ROWS(A$2:A214),_xlpm.block,QUOTIENT(_xlpm.n-1,10),_xlpm.conceptRow,6+_xlpm.block*11,IF(INDEX(Curation!$A:$A,_xlpm.conceptRow)="","",INDEX(Curation!$A:$A,_xlpm.conceptRow)))</f>
        <v>ló</v>
      </c>
      <c r="B214" t="s">
        <v>474</v>
      </c>
      <c r="C214" cm="1">
        <f t="array" ref="C214">_xlfn.LET(_xlpm.n,ROWS(C$2:C214),_xlpm.block,QUOTIENT(_xlpm.n-1,10),_xlpm.pos,MOD(_xlpm.n-1,10),_xlpm.conceptRow,6+_xlpm.block*11,_xlpm.srcRow,_xlpm.conceptRow+_xlpm.pos,IF(INDEX(Curation!$A:$A,_xlpm.conceptRow)="","",INDEX(Curation!$E:$E,_xlpm.srcRow)))</f>
        <v>6</v>
      </c>
      <c r="D214" cm="1">
        <f t="array" ref="D214">_xlfn.LET(_xlpm.n,ROWS(D$2:D214),_xlpm.block,QUOTIENT(_xlpm.n-1,10),_xlpm.pos,MOD(_xlpm.n-1,10),_xlpm.conceptRow,6+_xlpm.block*11,_xlpm.srcRow,_xlpm.conceptRow+_xlpm.pos,IF(INDEX(Curation!$A:$A,_xlpm.conceptRow)="","",INDEX(Curation!$F:$F,_xlpm.srcRow)))</f>
        <v>0.05</v>
      </c>
    </row>
    <row r="215" spans="1:4" x14ac:dyDescent="0.3">
      <c r="A215" t="str" cm="1">
        <f t="array" ref="A215">_xlfn.LET(_xlpm.n,ROWS(A$2:A215),_xlpm.block,QUOTIENT(_xlpm.n-1,10),_xlpm.conceptRow,6+_xlpm.block*11,IF(INDEX(Curation!$A:$A,_xlpm.conceptRow)="","",INDEX(Curation!$A:$A,_xlpm.conceptRow)))</f>
        <v>ló</v>
      </c>
      <c r="B215" t="s">
        <v>475</v>
      </c>
      <c r="C215" cm="1">
        <f t="array" ref="C215">_xlfn.LET(_xlpm.n,ROWS(C$2:C215),_xlpm.block,QUOTIENT(_xlpm.n-1,10),_xlpm.pos,MOD(_xlpm.n-1,10),_xlpm.conceptRow,6+_xlpm.block*11,_xlpm.srcRow,_xlpm.conceptRow+_xlpm.pos,IF(INDEX(Curation!$A:$A,_xlpm.conceptRow)="","",INDEX(Curation!$E:$E,_xlpm.srcRow)))</f>
        <v>15</v>
      </c>
      <c r="D215" cm="1">
        <f t="array" ref="D215">_xlfn.LET(_xlpm.n,ROWS(D$2:D215),_xlpm.block,QUOTIENT(_xlpm.n-1,10),_xlpm.pos,MOD(_xlpm.n-1,10),_xlpm.conceptRow,6+_xlpm.block*11,_xlpm.srcRow,_xlpm.conceptRow+_xlpm.pos,IF(INDEX(Curation!$A:$A,_xlpm.conceptRow)="","",INDEX(Curation!$F:$F,_xlpm.srcRow)))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216" spans="1:4" x14ac:dyDescent="0.3">
      <c r="A216" t="str" cm="1">
        <f t="array" ref="A216">_xlfn.LET(_xlpm.n,ROWS(A$2:A216),_xlpm.block,QUOTIENT(_xlpm.n-1,10),_xlpm.conceptRow,6+_xlpm.block*11,IF(INDEX(Curation!$A:$A,_xlpm.conceptRow)="","",INDEX(Curation!$A:$A,_xlpm.conceptRow)))</f>
        <v>ló</v>
      </c>
      <c r="B216" t="s">
        <v>476</v>
      </c>
      <c r="C216" cm="1">
        <f t="array" ref="C216">_xlfn.LET(_xlpm.n,ROWS(C$2:C216),_xlpm.block,QUOTIENT(_xlpm.n-1,10),_xlpm.pos,MOD(_xlpm.n-1,10),_xlpm.conceptRow,6+_xlpm.block*11,_xlpm.srcRow,_xlpm.conceptRow+_xlpm.pos,IF(INDEX(Curation!$A:$A,_xlpm.conceptRow)="","",INDEX(Curation!$E:$E,_xlpm.srcRow)))</f>
        <v>4</v>
      </c>
      <c r="D216" cm="1">
        <f t="array" ref="D216">_xlfn.LET(_xlpm.n,ROWS(D$2:D216),_xlpm.block,QUOTIENT(_xlpm.n-1,10),_xlpm.pos,MOD(_xlpm.n-1,10),_xlpm.conceptRow,6+_xlpm.block*11,_xlpm.srcRow,_xlpm.conceptRow+_xlpm.pos,IF(INDEX(Curation!$A:$A,_xlpm.conceptRow)="","",INDEX(Curation!$F:$F,_xlpm.srcRow)))</f>
        <v>9.0999999999999998E-2</v>
      </c>
    </row>
    <row r="217" spans="1:4" x14ac:dyDescent="0.3">
      <c r="A217" t="str" cm="1">
        <f t="array" ref="A217">_xlfn.LET(_xlpm.n,ROWS(A$2:A217),_xlpm.block,QUOTIENT(_xlpm.n-1,10),_xlpm.conceptRow,6+_xlpm.block*11,IF(INDEX(Curation!$A:$A,_xlpm.conceptRow)="","",INDEX(Curation!$A:$A,_xlpm.conceptRow)))</f>
        <v>ló</v>
      </c>
      <c r="B217" t="s">
        <v>477</v>
      </c>
      <c r="C217" cm="1">
        <f t="array" ref="C217">_xlfn.LET(_xlpm.n,ROWS(C$2:C217),_xlpm.block,QUOTIENT(_xlpm.n-1,10),_xlpm.pos,MOD(_xlpm.n-1,10),_xlpm.conceptRow,6+_xlpm.block*11,_xlpm.srcRow,_xlpm.conceptRow+_xlpm.pos,IF(INDEX(Curation!$A:$A,_xlpm.conceptRow)="","",INDEX(Curation!$E:$E,_xlpm.srcRow)))</f>
        <v>3</v>
      </c>
      <c r="D217" cm="1">
        <f t="array" ref="D217">_xlfn.LET(_xlpm.n,ROWS(D$2:D217),_xlpm.block,QUOTIENT(_xlpm.n-1,10),_xlpm.pos,MOD(_xlpm.n-1,10),_xlpm.conceptRow,6+_xlpm.block*11,_xlpm.srcRow,_xlpm.conceptRow+_xlpm.pos,IF(INDEX(Curation!$A:$A,_xlpm.conceptRow)="","",INDEX(Curation!$F:$F,_xlpm.srcRow)))</f>
        <v>0.14299999999999999</v>
      </c>
    </row>
    <row r="218" spans="1:4" x14ac:dyDescent="0.3">
      <c r="A218" t="str" cm="1">
        <f t="array" ref="A218">_xlfn.LET(_xlpm.n,ROWS(A$2:A218),_xlpm.block,QUOTIENT(_xlpm.n-1,10),_xlpm.conceptRow,6+_xlpm.block*11,IF(INDEX(Curation!$A:$A,_xlpm.conceptRow)="","",INDEX(Curation!$A:$A,_xlpm.conceptRow)))</f>
        <v>ló</v>
      </c>
      <c r="B218" t="s">
        <v>478</v>
      </c>
      <c r="C218" cm="1">
        <f t="array" ref="C218">_xlfn.LET(_xlpm.n,ROWS(C$2:C218),_xlpm.block,QUOTIENT(_xlpm.n-1,10),_xlpm.pos,MOD(_xlpm.n-1,10),_xlpm.conceptRow,6+_xlpm.block*11,_xlpm.srcRow,_xlpm.conceptRow+_xlpm.pos,IF(INDEX(Curation!$A:$A,_xlpm.conceptRow)="","",INDEX(Curation!$E:$E,_xlpm.srcRow)))</f>
        <v>3</v>
      </c>
      <c r="D218" cm="1">
        <f t="array" ref="D218">_xlfn.LET(_xlpm.n,ROWS(D$2:D218),_xlpm.block,QUOTIENT(_xlpm.n-1,10),_xlpm.pos,MOD(_xlpm.n-1,10),_xlpm.conceptRow,6+_xlpm.block*11,_xlpm.srcRow,_xlpm.conceptRow+_xlpm.pos,IF(INDEX(Curation!$A:$A,_xlpm.conceptRow)="","",INDEX(Curation!$F:$F,_xlpm.srcRow)))</f>
        <v>0.16700000000000001</v>
      </c>
    </row>
    <row r="219" spans="1:4" x14ac:dyDescent="0.3">
      <c r="A219" t="str" cm="1">
        <f t="array" ref="A219">_xlfn.LET(_xlpm.n,ROWS(A$2:A219),_xlpm.block,QUOTIENT(_xlpm.n-1,10),_xlpm.conceptRow,6+_xlpm.block*11,IF(INDEX(Curation!$A:$A,_xlpm.conceptRow)="","",INDEX(Curation!$A:$A,_xlpm.conceptRow)))</f>
        <v>ló</v>
      </c>
      <c r="B219" t="s">
        <v>479</v>
      </c>
      <c r="C219" cm="1">
        <f t="array" ref="C219">_xlfn.LET(_xlpm.n,ROWS(C$2:C219),_xlpm.block,QUOTIENT(_xlpm.n-1,10),_xlpm.pos,MOD(_xlpm.n-1,10),_xlpm.conceptRow,6+_xlpm.block*11,_xlpm.srcRow,_xlpm.conceptRow+_xlpm.pos,IF(INDEX(Curation!$A:$A,_xlpm.conceptRow)="","",INDEX(Curation!$E:$E,_xlpm.srcRow)))</f>
        <v>5</v>
      </c>
      <c r="D219" cm="1">
        <f t="array" ref="D219">_xlfn.LET(_xlpm.n,ROWS(D$2:D219),_xlpm.block,QUOTIENT(_xlpm.n-1,10),_xlpm.pos,MOD(_xlpm.n-1,10),_xlpm.conceptRow,6+_xlpm.block*11,_xlpm.srcRow,_xlpm.conceptRow+_xlpm.pos,IF(INDEX(Curation!$A:$A,_xlpm.conceptRow)="","",INDEX(Curation!$F:$F,_xlpm.srcRow)))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20" spans="1:4" x14ac:dyDescent="0.3">
      <c r="A220" t="str" cm="1">
        <f t="array" ref="A220">_xlfn.LET(_xlpm.n,ROWS(A$2:A220),_xlpm.block,QUOTIENT(_xlpm.n-1,10),_xlpm.conceptRow,6+_xlpm.block*11,IF(INDEX(Curation!$A:$A,_xlpm.conceptRow)="","",INDEX(Curation!$A:$A,_xlpm.conceptRow)))</f>
        <v>ló</v>
      </c>
      <c r="B220" t="s">
        <v>480</v>
      </c>
      <c r="C220" cm="1">
        <f t="array" ref="C220">_xlfn.LET(_xlpm.n,ROWS(C$2:C220),_xlpm.block,QUOTIENT(_xlpm.n-1,10),_xlpm.pos,MOD(_xlpm.n-1,10),_xlpm.conceptRow,6+_xlpm.block*11,_xlpm.srcRow,_xlpm.conceptRow+_xlpm.pos,IF(INDEX(Curation!$A:$A,_xlpm.conceptRow)="","",INDEX(Curation!$E:$E,_xlpm.srcRow)))</f>
        <v>3</v>
      </c>
      <c r="D220" cm="1">
        <f t="array" ref="D220">_xlfn.LET(_xlpm.n,ROWS(D$2:D220),_xlpm.block,QUOTIENT(_xlpm.n-1,10),_xlpm.pos,MOD(_xlpm.n-1,10),_xlpm.conceptRow,6+_xlpm.block*11,_xlpm.srcRow,_xlpm.conceptRow+_xlpm.pos,IF(INDEX(Curation!$A:$A,_xlpm.conceptRow)="","",INDEX(Curation!$F:$F,_xlpm.srcRow)))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21" spans="1:4" x14ac:dyDescent="0.3">
      <c r="A221" t="str" cm="1">
        <f t="array" ref="A221">_xlfn.LET(_xlpm.n,ROWS(A$2:A221),_xlpm.block,QUOTIENT(_xlpm.n-1,10),_xlpm.conceptRow,6+_xlpm.block*11,IF(INDEX(Curation!$A:$A,_xlpm.conceptRow)="","",INDEX(Curation!$A:$A,_xlpm.conceptRow)))</f>
        <v>ló</v>
      </c>
      <c r="B221" t="s">
        <v>481</v>
      </c>
      <c r="C221" cm="1">
        <f t="array" ref="C221">_xlfn.LET(_xlpm.n,ROWS(C$2:C221),_xlpm.block,QUOTIENT(_xlpm.n-1,10),_xlpm.pos,MOD(_xlpm.n-1,10),_xlpm.conceptRow,6+_xlpm.block*11,_xlpm.srcRow,_xlpm.conceptRow+_xlpm.pos,IF(INDEX(Curation!$A:$A,_xlpm.conceptRow)="","",INDEX(Curation!$E:$E,_xlpm.srcRow)))</f>
        <v>1</v>
      </c>
      <c r="D221" cm="1">
        <f t="array" ref="D221">_xlfn.LET(_xlpm.n,ROWS(D$2:D221),_xlpm.block,QUOTIENT(_xlpm.n-1,10),_xlpm.pos,MOD(_xlpm.n-1,10),_xlpm.conceptRow,6+_xlpm.block*11,_xlpm.srcRow,_xlpm.conceptRow+_xlpm.pos,IF(INDEX(Curation!$A:$A,_xlpm.conceptRow)="","",INDEX(Curation!$F:$F,_xlpm.srcRow)))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222" spans="1:4" x14ac:dyDescent="0.3">
      <c r="A222" t="str" cm="1">
        <f t="array" ref="A222">_xlfn.LET(_xlpm.n,ROWS(A$2:A222),_xlpm.block,QUOTIENT(_xlpm.n-1,10),_xlpm.conceptRow,6+_xlpm.block*11,IF(INDEX(Curation!$A:$A,_xlpm.conceptRow)="","",INDEX(Curation!$A:$A,_xlpm.conceptRow)))</f>
        <v>nadrág</v>
      </c>
      <c r="B222" t="s">
        <v>472</v>
      </c>
      <c r="C222" cm="1">
        <f t="array" ref="C222">_xlfn.LET(_xlpm.n,ROWS(C$2:C222),_xlpm.block,QUOTIENT(_xlpm.n-1,10),_xlpm.pos,MOD(_xlpm.n-1,10),_xlpm.conceptRow,6+_xlpm.block*11,_xlpm.srcRow,_xlpm.conceptRow+_xlpm.pos,IF(INDEX(Curation!$A:$A,_xlpm.conceptRow)="","",INDEX(Curation!$E:$E,_xlpm.srcRow)))</f>
        <v>4</v>
      </c>
      <c r="D222" cm="1">
        <f t="array" ref="D222">_xlfn.LET(_xlpm.n,ROWS(D$2:D222),_xlpm.block,QUOTIENT(_xlpm.n-1,10),_xlpm.pos,MOD(_xlpm.n-1,10),_xlpm.conceptRow,6+_xlpm.block*11,_xlpm.srcRow,_xlpm.conceptRow+_xlpm.pos,IF(INDEX(Curation!$A:$A,_xlpm.conceptRow)="","",INDEX(Curation!$F:$F,_xlpm.srcRow)))</f>
        <v>0.16700000000000001</v>
      </c>
    </row>
    <row r="223" spans="1:4" x14ac:dyDescent="0.3">
      <c r="A223" t="str" cm="1">
        <f t="array" ref="A223">_xlfn.LET(_xlpm.n,ROWS(A$2:A223),_xlpm.block,QUOTIENT(_xlpm.n-1,10),_xlpm.conceptRow,6+_xlpm.block*11,IF(INDEX(Curation!$A:$A,_xlpm.conceptRow)="","",INDEX(Curation!$A:$A,_xlpm.conceptRow)))</f>
        <v>nadrág</v>
      </c>
      <c r="B223" t="s">
        <v>473</v>
      </c>
      <c r="C223" cm="1">
        <f t="array" ref="C223">_xlfn.LET(_xlpm.n,ROWS(C$2:C223),_xlpm.block,QUOTIENT(_xlpm.n-1,10),_xlpm.pos,MOD(_xlpm.n-1,10),_xlpm.conceptRow,6+_xlpm.block*11,_xlpm.srcRow,_xlpm.conceptRow+_xlpm.pos,IF(INDEX(Curation!$A:$A,_xlpm.conceptRow)="","",INDEX(Curation!$E:$E,_xlpm.srcRow)))</f>
        <v>7</v>
      </c>
      <c r="D223" cm="1">
        <f t="array" ref="D223">_xlfn.LET(_xlpm.n,ROWS(D$2:D223),_xlpm.block,QUOTIENT(_xlpm.n-1,10),_xlpm.pos,MOD(_xlpm.n-1,10),_xlpm.conceptRow,6+_xlpm.block*11,_xlpm.srcRow,_xlpm.conceptRow+_xlpm.pos,IF(INDEX(Curation!$A:$A,_xlpm.conceptRow)="","",INDEX(Curation!$F:$F,_xlpm.srcRow)))</f>
        <v>0.14299999999999999</v>
      </c>
    </row>
    <row r="224" spans="1:4" x14ac:dyDescent="0.3">
      <c r="A224" t="str" cm="1">
        <f t="array" ref="A224">_xlfn.LET(_xlpm.n,ROWS(A$2:A224),_xlpm.block,QUOTIENT(_xlpm.n-1,10),_xlpm.conceptRow,6+_xlpm.block*11,IF(INDEX(Curation!$A:$A,_xlpm.conceptRow)="","",INDEX(Curation!$A:$A,_xlpm.conceptRow)))</f>
        <v>nadrág</v>
      </c>
      <c r="B224" t="s">
        <v>474</v>
      </c>
      <c r="C224" cm="1">
        <f t="array" ref="C224">_xlfn.LET(_xlpm.n,ROWS(C$2:C224),_xlpm.block,QUOTIENT(_xlpm.n-1,10),_xlpm.pos,MOD(_xlpm.n-1,10),_xlpm.conceptRow,6+_xlpm.block*11,_xlpm.srcRow,_xlpm.conceptRow+_xlpm.pos,IF(INDEX(Curation!$A:$A,_xlpm.conceptRow)="","",INDEX(Curation!$E:$E,_xlpm.srcRow)))</f>
        <v>2</v>
      </c>
      <c r="D224" cm="1">
        <f t="array" ref="D224">_xlfn.LET(_xlpm.n,ROWS(D$2:D224),_xlpm.block,QUOTIENT(_xlpm.n-1,10),_xlpm.pos,MOD(_xlpm.n-1,10),_xlpm.conceptRow,6+_xlpm.block*11,_xlpm.srcRow,_xlpm.conceptRow+_xlpm.pos,IF(INDEX(Curation!$A:$A,_xlpm.conceptRow)="","",INDEX(Curation!$F:$F,_xlpm.srcRow)))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225" spans="1:4" x14ac:dyDescent="0.3">
      <c r="A225" t="str" cm="1">
        <f t="array" ref="A225">_xlfn.LET(_xlpm.n,ROWS(A$2:A225),_xlpm.block,QUOTIENT(_xlpm.n-1,10),_xlpm.conceptRow,6+_xlpm.block*11,IF(INDEX(Curation!$A:$A,_xlpm.conceptRow)="","",INDEX(Curation!$A:$A,_xlpm.conceptRow)))</f>
        <v>nadrág</v>
      </c>
      <c r="B225" t="s">
        <v>475</v>
      </c>
      <c r="C225" cm="1">
        <f t="array" ref="C225">_xlfn.LET(_xlpm.n,ROWS(C$2:C225),_xlpm.block,QUOTIENT(_xlpm.n-1,10),_xlpm.pos,MOD(_xlpm.n-1,10),_xlpm.conceptRow,6+_xlpm.block*11,_xlpm.srcRow,_xlpm.conceptRow+_xlpm.pos,IF(INDEX(Curation!$A:$A,_xlpm.conceptRow)="","",INDEX(Curation!$E:$E,_xlpm.srcRow)))</f>
        <v>2</v>
      </c>
      <c r="D225" cm="1">
        <f t="array" ref="D225">_xlfn.LET(_xlpm.n,ROWS(D$2:D225),_xlpm.block,QUOTIENT(_xlpm.n-1,10),_xlpm.pos,MOD(_xlpm.n-1,10),_xlpm.conceptRow,6+_xlpm.block*11,_xlpm.srcRow,_xlpm.conceptRow+_xlpm.pos,IF(INDEX(Curation!$A:$A,_xlpm.conceptRow)="","",INDEX(Curation!$F:$F,_xlpm.srcRow)))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226" spans="1:4" x14ac:dyDescent="0.3">
      <c r="A226" t="str" cm="1">
        <f t="array" ref="A226">_xlfn.LET(_xlpm.n,ROWS(A$2:A226),_xlpm.block,QUOTIENT(_xlpm.n-1,10),_xlpm.conceptRow,6+_xlpm.block*11,IF(INDEX(Curation!$A:$A,_xlpm.conceptRow)="","",INDEX(Curation!$A:$A,_xlpm.conceptRow)))</f>
        <v>nadrág</v>
      </c>
      <c r="B226" t="s">
        <v>476</v>
      </c>
      <c r="C226" cm="1">
        <f t="array" ref="C226">_xlfn.LET(_xlpm.n,ROWS(C$2:C226),_xlpm.block,QUOTIENT(_xlpm.n-1,10),_xlpm.pos,MOD(_xlpm.n-1,10),_xlpm.conceptRow,6+_xlpm.block*11,_xlpm.srcRow,_xlpm.conceptRow+_xlpm.pos,IF(INDEX(Curation!$A:$A,_xlpm.conceptRow)="","",INDEX(Curation!$E:$E,_xlpm.srcRow)))</f>
        <v>3</v>
      </c>
      <c r="D226" cm="1">
        <f t="array" ref="D226">_xlfn.LET(_xlpm.n,ROWS(D$2:D226),_xlpm.block,QUOTIENT(_xlpm.n-1,10),_xlpm.pos,MOD(_xlpm.n-1,10),_xlpm.conceptRow,6+_xlpm.block*11,_xlpm.srcRow,_xlpm.conceptRow+_xlpm.pos,IF(INDEX(Curation!$A:$A,_xlpm.conceptRow)="","",INDEX(Curation!$F:$F,_xlpm.srcRow)))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27" spans="1:4" x14ac:dyDescent="0.3">
      <c r="A227" t="str" cm="1">
        <f t="array" ref="A227">_xlfn.LET(_xlpm.n,ROWS(A$2:A227),_xlpm.block,QUOTIENT(_xlpm.n-1,10),_xlpm.conceptRow,6+_xlpm.block*11,IF(INDEX(Curation!$A:$A,_xlpm.conceptRow)="","",INDEX(Curation!$A:$A,_xlpm.conceptRow)))</f>
        <v>nadrág</v>
      </c>
      <c r="B227" t="s">
        <v>477</v>
      </c>
      <c r="C227" cm="1">
        <f t="array" ref="C227">_xlfn.LET(_xlpm.n,ROWS(C$2:C227),_xlpm.block,QUOTIENT(_xlpm.n-1,10),_xlpm.pos,MOD(_xlpm.n-1,10),_xlpm.conceptRow,6+_xlpm.block*11,_xlpm.srcRow,_xlpm.conceptRow+_xlpm.pos,IF(INDEX(Curation!$A:$A,_xlpm.conceptRow)="","",INDEX(Curation!$E:$E,_xlpm.srcRow)))</f>
        <v>3</v>
      </c>
      <c r="D227" cm="1">
        <f t="array" ref="D227">_xlfn.LET(_xlpm.n,ROWS(D$2:D227),_xlpm.block,QUOTIENT(_xlpm.n-1,10),_xlpm.pos,MOD(_xlpm.n-1,10),_xlpm.conceptRow,6+_xlpm.block*11,_xlpm.srcRow,_xlpm.conceptRow+_xlpm.pos,IF(INDEX(Curation!$A:$A,_xlpm.conceptRow)="","",INDEX(Curation!$F:$F,_xlpm.srcRow)))</f>
        <v>9.0999999999999998E-2</v>
      </c>
    </row>
    <row r="228" spans="1:4" x14ac:dyDescent="0.3">
      <c r="A228" t="str" cm="1">
        <f t="array" ref="A228">_xlfn.LET(_xlpm.n,ROWS(A$2:A228),_xlpm.block,QUOTIENT(_xlpm.n-1,10),_xlpm.conceptRow,6+_xlpm.block*11,IF(INDEX(Curation!$A:$A,_xlpm.conceptRow)="","",INDEX(Curation!$A:$A,_xlpm.conceptRow)))</f>
        <v>nadrág</v>
      </c>
      <c r="B228" t="s">
        <v>478</v>
      </c>
      <c r="C228" cm="1">
        <f t="array" ref="C228">_xlfn.LET(_xlpm.n,ROWS(C$2:C228),_xlpm.block,QUOTIENT(_xlpm.n-1,10),_xlpm.pos,MOD(_xlpm.n-1,10),_xlpm.conceptRow,6+_xlpm.block*11,_xlpm.srcRow,_xlpm.conceptRow+_xlpm.pos,IF(INDEX(Curation!$A:$A,_xlpm.conceptRow)="","",INDEX(Curation!$E:$E,_xlpm.srcRow)))</f>
        <v>1</v>
      </c>
      <c r="D228" cm="1">
        <f t="array" ref="D228">_xlfn.LET(_xlpm.n,ROWS(D$2:D228),_xlpm.block,QUOTIENT(_xlpm.n-1,10),_xlpm.pos,MOD(_xlpm.n-1,10),_xlpm.conceptRow,6+_xlpm.block*11,_xlpm.srcRow,_xlpm.conceptRow+_xlpm.pos,IF(INDEX(Curation!$A:$A,_xlpm.conceptRow)="","",INDEX(Curation!$F:$F,_xlpm.srcRow)))</f>
        <v>0.111</v>
      </c>
    </row>
    <row r="229" spans="1:4" x14ac:dyDescent="0.3">
      <c r="A229" t="str" cm="1">
        <f t="array" ref="A229">_xlfn.LET(_xlpm.n,ROWS(A$2:A229),_xlpm.block,QUOTIENT(_xlpm.n-1,10),_xlpm.conceptRow,6+_xlpm.block*11,IF(INDEX(Curation!$A:$A,_xlpm.conceptRow)="","",INDEX(Curation!$A:$A,_xlpm.conceptRow)))</f>
        <v>nadrág</v>
      </c>
      <c r="B229" t="s">
        <v>479</v>
      </c>
      <c r="C229" cm="1">
        <f t="array" ref="C229">_xlfn.LET(_xlpm.n,ROWS(C$2:C229),_xlpm.block,QUOTIENT(_xlpm.n-1,10),_xlpm.pos,MOD(_xlpm.n-1,10),_xlpm.conceptRow,6+_xlpm.block*11,_xlpm.srcRow,_xlpm.conceptRow+_xlpm.pos,IF(INDEX(Curation!$A:$A,_xlpm.conceptRow)="","",INDEX(Curation!$E:$E,_xlpm.srcRow)))</f>
        <v>2</v>
      </c>
      <c r="D229" cm="1">
        <f t="array" ref="D229">_xlfn.LET(_xlpm.n,ROWS(D$2:D229),_xlpm.block,QUOTIENT(_xlpm.n-1,10),_xlpm.pos,MOD(_xlpm.n-1,10),_xlpm.conceptRow,6+_xlpm.block*11,_xlpm.srcRow,_xlpm.conceptRow+_xlpm.pos,IF(INDEX(Curation!$A:$A,_xlpm.conceptRow)="","",INDEX(Curation!$F:$F,_xlpm.srcRow)))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30" spans="1:4" x14ac:dyDescent="0.3">
      <c r="A230" t="str" cm="1">
        <f t="array" ref="A230">_xlfn.LET(_xlpm.n,ROWS(A$2:A230),_xlpm.block,QUOTIENT(_xlpm.n-1,10),_xlpm.conceptRow,6+_xlpm.block*11,IF(INDEX(Curation!$A:$A,_xlpm.conceptRow)="","",INDEX(Curation!$A:$A,_xlpm.conceptRow)))</f>
        <v>nadrág</v>
      </c>
      <c r="B230" t="s">
        <v>480</v>
      </c>
      <c r="C230" cm="1">
        <f t="array" ref="C230">_xlfn.LET(_xlpm.n,ROWS(C$2:C230),_xlpm.block,QUOTIENT(_xlpm.n-1,10),_xlpm.pos,MOD(_xlpm.n-1,10),_xlpm.conceptRow,6+_xlpm.block*11,_xlpm.srcRow,_xlpm.conceptRow+_xlpm.pos,IF(INDEX(Curation!$A:$A,_xlpm.conceptRow)="","",INDEX(Curation!$E:$E,_xlpm.srcRow)))</f>
        <v>1</v>
      </c>
      <c r="D230" cm="1">
        <f t="array" ref="D230">_xlfn.LET(_xlpm.n,ROWS(D$2:D230),_xlpm.block,QUOTIENT(_xlpm.n-1,10),_xlpm.pos,MOD(_xlpm.n-1,10),_xlpm.conceptRow,6+_xlpm.block*11,_xlpm.srcRow,_xlpm.conceptRow+_xlpm.pos,IF(INDEX(Curation!$A:$A,_xlpm.conceptRow)="","",INDEX(Curation!$F:$F,_xlpm.srcRow)))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231" spans="1:4" x14ac:dyDescent="0.3">
      <c r="A231" t="str" cm="1">
        <f t="array" ref="A231">_xlfn.LET(_xlpm.n,ROWS(A$2:A231),_xlpm.block,QUOTIENT(_xlpm.n-1,10),_xlpm.conceptRow,6+_xlpm.block*11,IF(INDEX(Curation!$A:$A,_xlpm.conceptRow)="","",INDEX(Curation!$A:$A,_xlpm.conceptRow)))</f>
        <v>nadrág</v>
      </c>
      <c r="B231" t="s">
        <v>481</v>
      </c>
      <c r="C231" cm="1">
        <f t="array" ref="C231">_xlfn.LET(_xlpm.n,ROWS(C$2:C231),_xlpm.block,QUOTIENT(_xlpm.n-1,10),_xlpm.pos,MOD(_xlpm.n-1,10),_xlpm.conceptRow,6+_xlpm.block*11,_xlpm.srcRow,_xlpm.conceptRow+_xlpm.pos,IF(INDEX(Curation!$A:$A,_xlpm.conceptRow)="","",INDEX(Curation!$E:$E,_xlpm.srcRow)))</f>
        <v>1</v>
      </c>
      <c r="D231" cm="1">
        <f t="array" ref="D231">_xlfn.LET(_xlpm.n,ROWS(D$2:D231),_xlpm.block,QUOTIENT(_xlpm.n-1,10),_xlpm.pos,MOD(_xlpm.n-1,10),_xlpm.conceptRow,6+_xlpm.block*11,_xlpm.srcRow,_xlpm.conceptRow+_xlpm.pos,IF(INDEX(Curation!$A:$A,_xlpm.conceptRow)="","",INDEX(Curation!$F:$F,_xlpm.srcRow)))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32" spans="1:4" x14ac:dyDescent="0.3">
      <c r="A232" t="str" cm="1">
        <f t="array" ref="A232">_xlfn.LET(_xlpm.n,ROWS(A$2:A232),_xlpm.block,QUOTIENT(_xlpm.n-1,10),_xlpm.conceptRow,6+_xlpm.block*11,IF(INDEX(Curation!$A:$A,_xlpm.conceptRow)="","",INDEX(Curation!$A:$A,_xlpm.conceptRow)))</f>
        <v>nappali</v>
      </c>
      <c r="B232" t="s">
        <v>472</v>
      </c>
      <c r="C232" cm="1">
        <f t="array" ref="C232">_xlfn.LET(_xlpm.n,ROWS(C$2:C232),_xlpm.block,QUOTIENT(_xlpm.n-1,10),_xlpm.pos,MOD(_xlpm.n-1,10),_xlpm.conceptRow,6+_xlpm.block*11,_xlpm.srcRow,_xlpm.conceptRow+_xlpm.pos,IF(INDEX(Curation!$A:$A,_xlpm.conceptRow)="","",INDEX(Curation!$E:$E,_xlpm.srcRow)))</f>
        <v>1</v>
      </c>
      <c r="D232" cm="1">
        <f t="array" ref="D232">_xlfn.LET(_xlpm.n,ROWS(D$2:D232),_xlpm.block,QUOTIENT(_xlpm.n-1,10),_xlpm.pos,MOD(_xlpm.n-1,10),_xlpm.conceptRow,6+_xlpm.block*11,_xlpm.srcRow,_xlpm.conceptRow+_xlpm.pos,IF(INDEX(Curation!$A:$A,_xlpm.conceptRow)="","",INDEX(Curation!$F:$F,_xlpm.srcRow)))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33" spans="1:4" x14ac:dyDescent="0.3">
      <c r="A233" t="str" cm="1">
        <f t="array" ref="A233">_xlfn.LET(_xlpm.n,ROWS(A$2:A233),_xlpm.block,QUOTIENT(_xlpm.n-1,10),_xlpm.conceptRow,6+_xlpm.block*11,IF(INDEX(Curation!$A:$A,_xlpm.conceptRow)="","",INDEX(Curation!$A:$A,_xlpm.conceptRow)))</f>
        <v>nappali</v>
      </c>
      <c r="B233" t="s">
        <v>473</v>
      </c>
      <c r="C233" cm="1">
        <f t="array" ref="C233">_xlfn.LET(_xlpm.n,ROWS(C$2:C233),_xlpm.block,QUOTIENT(_xlpm.n-1,10),_xlpm.pos,MOD(_xlpm.n-1,10),_xlpm.conceptRow,6+_xlpm.block*11,_xlpm.srcRow,_xlpm.conceptRow+_xlpm.pos,IF(INDEX(Curation!$A:$A,_xlpm.conceptRow)="","",INDEX(Curation!$E:$E,_xlpm.srcRow)))</f>
        <v>8</v>
      </c>
      <c r="D233" cm="1">
        <f t="array" ref="D233">_xlfn.LET(_xlpm.n,ROWS(D$2:D233),_xlpm.block,QUOTIENT(_xlpm.n-1,10),_xlpm.pos,MOD(_xlpm.n-1,10),_xlpm.conceptRow,6+_xlpm.block*11,_xlpm.srcRow,_xlpm.conceptRow+_xlpm.pos,IF(INDEX(Curation!$A:$A,_xlpm.conceptRow)="","",INDEX(Curation!$F:$F,_xlpm.srcRow)))</f>
        <v>0.1</v>
      </c>
    </row>
    <row r="234" spans="1:4" x14ac:dyDescent="0.3">
      <c r="A234" t="str" cm="1">
        <f t="array" ref="A234">_xlfn.LET(_xlpm.n,ROWS(A$2:A234),_xlpm.block,QUOTIENT(_xlpm.n-1,10),_xlpm.conceptRow,6+_xlpm.block*11,IF(INDEX(Curation!$A:$A,_xlpm.conceptRow)="","",INDEX(Curation!$A:$A,_xlpm.conceptRow)))</f>
        <v>nappali</v>
      </c>
      <c r="B234" t="s">
        <v>474</v>
      </c>
      <c r="C234" cm="1">
        <f t="array" ref="C234">_xlfn.LET(_xlpm.n,ROWS(C$2:C234),_xlpm.block,QUOTIENT(_xlpm.n-1,10),_xlpm.pos,MOD(_xlpm.n-1,10),_xlpm.conceptRow,6+_xlpm.block*11,_xlpm.srcRow,_xlpm.conceptRow+_xlpm.pos,IF(INDEX(Curation!$A:$A,_xlpm.conceptRow)="","",INDEX(Curation!$E:$E,_xlpm.srcRow)))</f>
        <v>1</v>
      </c>
      <c r="D234" cm="1">
        <f t="array" ref="D234">_xlfn.LET(_xlpm.n,ROWS(D$2:D234),_xlpm.block,QUOTIENT(_xlpm.n-1,10),_xlpm.pos,MOD(_xlpm.n-1,10),_xlpm.conceptRow,6+_xlpm.block*11,_xlpm.srcRow,_xlpm.conceptRow+_xlpm.pos,IF(INDEX(Curation!$A:$A,_xlpm.conceptRow)="","",INDEX(Curation!$F:$F,_xlpm.srcRow)))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35" spans="1:4" x14ac:dyDescent="0.3">
      <c r="A235" t="str" cm="1">
        <f t="array" ref="A235">_xlfn.LET(_xlpm.n,ROWS(A$2:A235),_xlpm.block,QUOTIENT(_xlpm.n-1,10),_xlpm.conceptRow,6+_xlpm.block*11,IF(INDEX(Curation!$A:$A,_xlpm.conceptRow)="","",INDEX(Curation!$A:$A,_xlpm.conceptRow)))</f>
        <v>nappali</v>
      </c>
      <c r="B235" t="s">
        <v>475</v>
      </c>
      <c r="C235" cm="1">
        <f t="array" ref="C235">_xlfn.LET(_xlpm.n,ROWS(C$2:C235),_xlpm.block,QUOTIENT(_xlpm.n-1,10),_xlpm.pos,MOD(_xlpm.n-1,10),_xlpm.conceptRow,6+_xlpm.block*11,_xlpm.srcRow,_xlpm.conceptRow+_xlpm.pos,IF(INDEX(Curation!$A:$A,_xlpm.conceptRow)="","",INDEX(Curation!$E:$E,_xlpm.srcRow)))</f>
        <v>9</v>
      </c>
      <c r="D235" cm="1">
        <f t="array" ref="D235">_xlfn.LET(_xlpm.n,ROWS(D$2:D235),_xlpm.block,QUOTIENT(_xlpm.n-1,10),_xlpm.pos,MOD(_xlpm.n-1,10),_xlpm.conceptRow,6+_xlpm.block*11,_xlpm.srcRow,_xlpm.conceptRow+_xlpm.pos,IF(INDEX(Curation!$A:$A,_xlpm.conceptRow)="","",INDEX(Curation!$F:$F,_xlpm.srcRow)))</f>
        <v>8.3000000000000004E-2</v>
      </c>
    </row>
    <row r="236" spans="1:4" x14ac:dyDescent="0.3">
      <c r="A236" t="str" cm="1">
        <f t="array" ref="A236">_xlfn.LET(_xlpm.n,ROWS(A$2:A236),_xlpm.block,QUOTIENT(_xlpm.n-1,10),_xlpm.conceptRow,6+_xlpm.block*11,IF(INDEX(Curation!$A:$A,_xlpm.conceptRow)="","",INDEX(Curation!$A:$A,_xlpm.conceptRow)))</f>
        <v>nappali</v>
      </c>
      <c r="B236" t="s">
        <v>476</v>
      </c>
      <c r="C236" cm="1">
        <f t="array" ref="C236">_xlfn.LET(_xlpm.n,ROWS(C$2:C236),_xlpm.block,QUOTIENT(_xlpm.n-1,10),_xlpm.pos,MOD(_xlpm.n-1,10),_xlpm.conceptRow,6+_xlpm.block*11,_xlpm.srcRow,_xlpm.conceptRow+_xlpm.pos,IF(INDEX(Curation!$A:$A,_xlpm.conceptRow)="","",INDEX(Curation!$E:$E,_xlpm.srcRow)))</f>
        <v>3</v>
      </c>
      <c r="D236" cm="1">
        <f t="array" ref="D236">_xlfn.LET(_xlpm.n,ROWS(D$2:D236),_xlpm.block,QUOTIENT(_xlpm.n-1,10),_xlpm.pos,MOD(_xlpm.n-1,10),_xlpm.conceptRow,6+_xlpm.block*11,_xlpm.srcRow,_xlpm.conceptRow+_xlpm.pos,IF(INDEX(Curation!$A:$A,_xlpm.conceptRow)="","",INDEX(Curation!$F:$F,_xlpm.srcRow)))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237" spans="1:4" x14ac:dyDescent="0.3">
      <c r="A237" t="str" cm="1">
        <f t="array" ref="A237">_xlfn.LET(_xlpm.n,ROWS(A$2:A237),_xlpm.block,QUOTIENT(_xlpm.n-1,10),_xlpm.conceptRow,6+_xlpm.block*11,IF(INDEX(Curation!$A:$A,_xlpm.conceptRow)="","",INDEX(Curation!$A:$A,_xlpm.conceptRow)))</f>
        <v>nappali</v>
      </c>
      <c r="B237" t="s">
        <v>477</v>
      </c>
      <c r="C237" cm="1">
        <f t="array" ref="C237">_xlfn.LET(_xlpm.n,ROWS(C$2:C237),_xlpm.block,QUOTIENT(_xlpm.n-1,10),_xlpm.pos,MOD(_xlpm.n-1,10),_xlpm.conceptRow,6+_xlpm.block*11,_xlpm.srcRow,_xlpm.conceptRow+_xlpm.pos,IF(INDEX(Curation!$A:$A,_xlpm.conceptRow)="","",INDEX(Curation!$E:$E,_xlpm.srcRow)))</f>
        <v>4</v>
      </c>
      <c r="D237" cm="1">
        <f t="array" ref="D237">_xlfn.LET(_xlpm.n,ROWS(D$2:D237),_xlpm.block,QUOTIENT(_xlpm.n-1,10),_xlpm.pos,MOD(_xlpm.n-1,10),_xlpm.conceptRow,6+_xlpm.block*11,_xlpm.srcRow,_xlpm.conceptRow+_xlpm.pos,IF(INDEX(Curation!$A:$A,_xlpm.conceptRow)="","",INDEX(Curation!$F:$F,_xlpm.srcRow)))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238" spans="1:4" x14ac:dyDescent="0.3">
      <c r="A238" t="str" cm="1">
        <f t="array" ref="A238">_xlfn.LET(_xlpm.n,ROWS(A$2:A238),_xlpm.block,QUOTIENT(_xlpm.n-1,10),_xlpm.conceptRow,6+_xlpm.block*11,IF(INDEX(Curation!$A:$A,_xlpm.conceptRow)="","",INDEX(Curation!$A:$A,_xlpm.conceptRow)))</f>
        <v>nappali</v>
      </c>
      <c r="B238" t="s">
        <v>478</v>
      </c>
      <c r="C238" cm="1">
        <f t="array" ref="C238">_xlfn.LET(_xlpm.n,ROWS(C$2:C238),_xlpm.block,QUOTIENT(_xlpm.n-1,10),_xlpm.pos,MOD(_xlpm.n-1,10),_xlpm.conceptRow,6+_xlpm.block*11,_xlpm.srcRow,_xlpm.conceptRow+_xlpm.pos,IF(INDEX(Curation!$A:$A,_xlpm.conceptRow)="","",INDEX(Curation!$E:$E,_xlpm.srcRow)))</f>
        <v>5</v>
      </c>
      <c r="D238" cm="1">
        <f t="array" ref="D238">_xlfn.LET(_xlpm.n,ROWS(D$2:D238),_xlpm.block,QUOTIENT(_xlpm.n-1,10),_xlpm.pos,MOD(_xlpm.n-1,10),_xlpm.conceptRow,6+_xlpm.block*11,_xlpm.srcRow,_xlpm.conceptRow+_xlpm.pos,IF(INDEX(Curation!$A:$A,_xlpm.conceptRow)="","",INDEX(Curation!$F:$F,_xlpm.srcRow)))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239" spans="1:4" x14ac:dyDescent="0.3">
      <c r="A239" t="str" cm="1">
        <f t="array" ref="A239">_xlfn.LET(_xlpm.n,ROWS(A$2:A239),_xlpm.block,QUOTIENT(_xlpm.n-1,10),_xlpm.conceptRow,6+_xlpm.block*11,IF(INDEX(Curation!$A:$A,_xlpm.conceptRow)="","",INDEX(Curation!$A:$A,_xlpm.conceptRow)))</f>
        <v>nappali</v>
      </c>
      <c r="B239" t="s">
        <v>479</v>
      </c>
      <c r="C239" cm="1">
        <f t="array" ref="C239">_xlfn.LET(_xlpm.n,ROWS(C$2:C239),_xlpm.block,QUOTIENT(_xlpm.n-1,10),_xlpm.pos,MOD(_xlpm.n-1,10),_xlpm.conceptRow,6+_xlpm.block*11,_xlpm.srcRow,_xlpm.conceptRow+_xlpm.pos,IF(INDEX(Curation!$A:$A,_xlpm.conceptRow)="","",INDEX(Curation!$E:$E,_xlpm.srcRow)))</f>
        <v>2</v>
      </c>
      <c r="D239" cm="1">
        <f t="array" ref="D239">_xlfn.LET(_xlpm.n,ROWS(D$2:D239),_xlpm.block,QUOTIENT(_xlpm.n-1,10),_xlpm.pos,MOD(_xlpm.n-1,10),_xlpm.conceptRow,6+_xlpm.block*11,_xlpm.srcRow,_xlpm.conceptRow+_xlpm.pos,IF(INDEX(Curation!$A:$A,_xlpm.conceptRow)="","",INDEX(Curation!$F:$F,_xlpm.srcRow)))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40" spans="1:4" x14ac:dyDescent="0.3">
      <c r="A240" t="str" cm="1">
        <f t="array" ref="A240">_xlfn.LET(_xlpm.n,ROWS(A$2:A240),_xlpm.block,QUOTIENT(_xlpm.n-1,10),_xlpm.conceptRow,6+_xlpm.block*11,IF(INDEX(Curation!$A:$A,_xlpm.conceptRow)="","",INDEX(Curation!$A:$A,_xlpm.conceptRow)))</f>
        <v>nappali</v>
      </c>
      <c r="B240" t="s">
        <v>480</v>
      </c>
      <c r="C240" cm="1">
        <f t="array" ref="C240">_xlfn.LET(_xlpm.n,ROWS(C$2:C240),_xlpm.block,QUOTIENT(_xlpm.n-1,10),_xlpm.pos,MOD(_xlpm.n-1,10),_xlpm.conceptRow,6+_xlpm.block*11,_xlpm.srcRow,_xlpm.conceptRow+_xlpm.pos,IF(INDEX(Curation!$A:$A,_xlpm.conceptRow)="","",INDEX(Curation!$E:$E,_xlpm.srcRow)))</f>
        <v>1</v>
      </c>
      <c r="D240" cm="1">
        <f t="array" ref="D240">_xlfn.LET(_xlpm.n,ROWS(D$2:D240),_xlpm.block,QUOTIENT(_xlpm.n-1,10),_xlpm.pos,MOD(_xlpm.n-1,10),_xlpm.conceptRow,6+_xlpm.block*11,_xlpm.srcRow,_xlpm.conceptRow+_xlpm.pos,IF(INDEX(Curation!$A:$A,_xlpm.conceptRow)="","",INDEX(Curation!$F:$F,_xlpm.srcRow)))</f>
        <v>0.14299999999999999</v>
      </c>
    </row>
    <row r="241" spans="1:4" x14ac:dyDescent="0.3">
      <c r="A241" t="str" cm="1">
        <f t="array" ref="A241">_xlfn.LET(_xlpm.n,ROWS(A$2:A241),_xlpm.block,QUOTIENT(_xlpm.n-1,10),_xlpm.conceptRow,6+_xlpm.block*11,IF(INDEX(Curation!$A:$A,_xlpm.conceptRow)="","",INDEX(Curation!$A:$A,_xlpm.conceptRow)))</f>
        <v>nappali</v>
      </c>
      <c r="B241" t="s">
        <v>481</v>
      </c>
      <c r="C241" cm="1">
        <f t="array" ref="C241">_xlfn.LET(_xlpm.n,ROWS(C$2:C241),_xlpm.block,QUOTIENT(_xlpm.n-1,10),_xlpm.pos,MOD(_xlpm.n-1,10),_xlpm.conceptRow,6+_xlpm.block*11,_xlpm.srcRow,_xlpm.conceptRow+_xlpm.pos,IF(INDEX(Curation!$A:$A,_xlpm.conceptRow)="","",INDEX(Curation!$E:$E,_xlpm.srcRow)))</f>
        <v>1</v>
      </c>
      <c r="D241" cm="1">
        <f t="array" ref="D241">_xlfn.LET(_xlpm.n,ROWS(D$2:D241),_xlpm.block,QUOTIENT(_xlpm.n-1,10),_xlpm.pos,MOD(_xlpm.n-1,10),_xlpm.conceptRow,6+_xlpm.block*11,_xlpm.srcRow,_xlpm.conceptRow+_xlpm.pos,IF(INDEX(Curation!$A:$A,_xlpm.conceptRow)="","",INDEX(Curation!$F:$F,_xlpm.srcRow)))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42" spans="1:4" x14ac:dyDescent="0.3">
      <c r="A242" t="str" cm="1">
        <f t="array" ref="A242">_xlfn.LET(_xlpm.n,ROWS(A$2:A242),_xlpm.block,QUOTIENT(_xlpm.n-1,10),_xlpm.conceptRow,6+_xlpm.block*11,IF(INDEX(Curation!$A:$A,_xlpm.conceptRow)="","",INDEX(Curation!$A:$A,_xlpm.conceptRow)))</f>
        <v>pulóver</v>
      </c>
      <c r="B242" t="s">
        <v>472</v>
      </c>
      <c r="C242" cm="1">
        <f t="array" ref="C242">_xlfn.LET(_xlpm.n,ROWS(C$2:C242),_xlpm.block,QUOTIENT(_xlpm.n-1,10),_xlpm.pos,MOD(_xlpm.n-1,10),_xlpm.conceptRow,6+_xlpm.block*11,_xlpm.srcRow,_xlpm.conceptRow+_xlpm.pos,IF(INDEX(Curation!$A:$A,_xlpm.conceptRow)="","",INDEX(Curation!$E:$E,_xlpm.srcRow)))</f>
        <v>2</v>
      </c>
      <c r="D242" cm="1">
        <f t="array" ref="D242">_xlfn.LET(_xlpm.n,ROWS(D$2:D242),_xlpm.block,QUOTIENT(_xlpm.n-1,10),_xlpm.pos,MOD(_xlpm.n-1,10),_xlpm.conceptRow,6+_xlpm.block*11,_xlpm.srcRow,_xlpm.conceptRow+_xlpm.pos,IF(INDEX(Curation!$A:$A,_xlpm.conceptRow)="","",INDEX(Curation!$F:$F,_xlpm.srcRow)))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243" spans="1:4" x14ac:dyDescent="0.3">
      <c r="A243" t="str" cm="1">
        <f t="array" ref="A243">_xlfn.LET(_xlpm.n,ROWS(A$2:A243),_xlpm.block,QUOTIENT(_xlpm.n-1,10),_xlpm.conceptRow,6+_xlpm.block*11,IF(INDEX(Curation!$A:$A,_xlpm.conceptRow)="","",INDEX(Curation!$A:$A,_xlpm.conceptRow)))</f>
        <v>pulóver</v>
      </c>
      <c r="B243" t="s">
        <v>473</v>
      </c>
      <c r="C243" cm="1">
        <f t="array" ref="C243">_xlfn.LET(_xlpm.n,ROWS(C$2:C243),_xlpm.block,QUOTIENT(_xlpm.n-1,10),_xlpm.pos,MOD(_xlpm.n-1,10),_xlpm.conceptRow,6+_xlpm.block*11,_xlpm.srcRow,_xlpm.conceptRow+_xlpm.pos,IF(INDEX(Curation!$A:$A,_xlpm.conceptRow)="","",INDEX(Curation!$E:$E,_xlpm.srcRow)))</f>
        <v>4</v>
      </c>
      <c r="D243" cm="1">
        <f t="array" ref="D243">_xlfn.LET(_xlpm.n,ROWS(D$2:D243),_xlpm.block,QUOTIENT(_xlpm.n-1,10),_xlpm.pos,MOD(_xlpm.n-1,10),_xlpm.conceptRow,6+_xlpm.block*11,_xlpm.srcRow,_xlpm.conceptRow+_xlpm.pos,IF(INDEX(Curation!$A:$A,_xlpm.conceptRow)="","",INDEX(Curation!$F:$F,_xlpm.srcRow)))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44" spans="1:4" x14ac:dyDescent="0.3">
      <c r="A244" t="str" cm="1">
        <f t="array" ref="A244">_xlfn.LET(_xlpm.n,ROWS(A$2:A244),_xlpm.block,QUOTIENT(_xlpm.n-1,10),_xlpm.conceptRow,6+_xlpm.block*11,IF(INDEX(Curation!$A:$A,_xlpm.conceptRow)="","",INDEX(Curation!$A:$A,_xlpm.conceptRow)))</f>
        <v>pulóver</v>
      </c>
      <c r="B244" t="s">
        <v>474</v>
      </c>
      <c r="C244" cm="1">
        <f t="array" ref="C244">_xlfn.LET(_xlpm.n,ROWS(C$2:C244),_xlpm.block,QUOTIENT(_xlpm.n-1,10),_xlpm.pos,MOD(_xlpm.n-1,10),_xlpm.conceptRow,6+_xlpm.block*11,_xlpm.srcRow,_xlpm.conceptRow+_xlpm.pos,IF(INDEX(Curation!$A:$A,_xlpm.conceptRow)="","",INDEX(Curation!$E:$E,_xlpm.srcRow)))</f>
        <v>3</v>
      </c>
      <c r="D244" cm="1">
        <f t="array" ref="D244">_xlfn.LET(_xlpm.n,ROWS(D$2:D244),_xlpm.block,QUOTIENT(_xlpm.n-1,10),_xlpm.pos,MOD(_xlpm.n-1,10),_xlpm.conceptRow,6+_xlpm.block*11,_xlpm.srcRow,_xlpm.conceptRow+_xlpm.pos,IF(INDEX(Curation!$A:$A,_xlpm.conceptRow)="","",INDEX(Curation!$F:$F,_xlpm.srcRow)))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45" spans="1:4" x14ac:dyDescent="0.3">
      <c r="A245" t="str" cm="1">
        <f t="array" ref="A245">_xlfn.LET(_xlpm.n,ROWS(A$2:A245),_xlpm.block,QUOTIENT(_xlpm.n-1,10),_xlpm.conceptRow,6+_xlpm.block*11,IF(INDEX(Curation!$A:$A,_xlpm.conceptRow)="","",INDEX(Curation!$A:$A,_xlpm.conceptRow)))</f>
        <v>pulóver</v>
      </c>
      <c r="B245" t="s">
        <v>475</v>
      </c>
      <c r="C245" cm="1">
        <f t="array" ref="C245">_xlfn.LET(_xlpm.n,ROWS(C$2:C245),_xlpm.block,QUOTIENT(_xlpm.n-1,10),_xlpm.pos,MOD(_xlpm.n-1,10),_xlpm.conceptRow,6+_xlpm.block*11,_xlpm.srcRow,_xlpm.conceptRow+_xlpm.pos,IF(INDEX(Curation!$A:$A,_xlpm.conceptRow)="","",INDEX(Curation!$E:$E,_xlpm.srcRow)))</f>
        <v>6</v>
      </c>
      <c r="D245" cm="1">
        <f t="array" ref="D245">_xlfn.LET(_xlpm.n,ROWS(D$2:D245),_xlpm.block,QUOTIENT(_xlpm.n-1,10),_xlpm.pos,MOD(_xlpm.n-1,10),_xlpm.conceptRow,6+_xlpm.block*11,_xlpm.srcRow,_xlpm.conceptRow+_xlpm.pos,IF(INDEX(Curation!$A:$A,_xlpm.conceptRow)="","",INDEX(Curation!$F:$F,_xlpm.srcRow)))</f>
        <v>0.14299999999999999</v>
      </c>
    </row>
    <row r="246" spans="1:4" x14ac:dyDescent="0.3">
      <c r="A246" t="str" cm="1">
        <f t="array" ref="A246">_xlfn.LET(_xlpm.n,ROWS(A$2:A246),_xlpm.block,QUOTIENT(_xlpm.n-1,10),_xlpm.conceptRow,6+_xlpm.block*11,IF(INDEX(Curation!$A:$A,_xlpm.conceptRow)="","",INDEX(Curation!$A:$A,_xlpm.conceptRow)))</f>
        <v>pulóver</v>
      </c>
      <c r="B246" t="s">
        <v>476</v>
      </c>
      <c r="C246" cm="1">
        <f t="array" ref="C246">_xlfn.LET(_xlpm.n,ROWS(C$2:C246),_xlpm.block,QUOTIENT(_xlpm.n-1,10),_xlpm.pos,MOD(_xlpm.n-1,10),_xlpm.conceptRow,6+_xlpm.block*11,_xlpm.srcRow,_xlpm.conceptRow+_xlpm.pos,IF(INDEX(Curation!$A:$A,_xlpm.conceptRow)="","",INDEX(Curation!$E:$E,_xlpm.srcRow)))</f>
        <v>4</v>
      </c>
      <c r="D246" cm="1">
        <f t="array" ref="D246">_xlfn.LET(_xlpm.n,ROWS(D$2:D246),_xlpm.block,QUOTIENT(_xlpm.n-1,10),_xlpm.pos,MOD(_xlpm.n-1,10),_xlpm.conceptRow,6+_xlpm.block*11,_xlpm.srcRow,_xlpm.conceptRow+_xlpm.pos,IF(INDEX(Curation!$A:$A,_xlpm.conceptRow)="","",INDEX(Curation!$F:$F,_xlpm.srcRow)))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247" spans="1:4" x14ac:dyDescent="0.3">
      <c r="A247" t="str" cm="1">
        <f t="array" ref="A247">_xlfn.LET(_xlpm.n,ROWS(A$2:A247),_xlpm.block,QUOTIENT(_xlpm.n-1,10),_xlpm.conceptRow,6+_xlpm.block*11,IF(INDEX(Curation!$A:$A,_xlpm.conceptRow)="","",INDEX(Curation!$A:$A,_xlpm.conceptRow)))</f>
        <v>pulóver</v>
      </c>
      <c r="B247" t="s">
        <v>477</v>
      </c>
      <c r="C247" cm="1">
        <f t="array" ref="C247">_xlfn.LET(_xlpm.n,ROWS(C$2:C247),_xlpm.block,QUOTIENT(_xlpm.n-1,10),_xlpm.pos,MOD(_xlpm.n-1,10),_xlpm.conceptRow,6+_xlpm.block*11,_xlpm.srcRow,_xlpm.conceptRow+_xlpm.pos,IF(INDEX(Curation!$A:$A,_xlpm.conceptRow)="","",INDEX(Curation!$E:$E,_xlpm.srcRow)))</f>
        <v>1</v>
      </c>
      <c r="D247" cm="1">
        <f t="array" ref="D247">_xlfn.LET(_xlpm.n,ROWS(D$2:D247),_xlpm.block,QUOTIENT(_xlpm.n-1,10),_xlpm.pos,MOD(_xlpm.n-1,10),_xlpm.conceptRow,6+_xlpm.block*11,_xlpm.srcRow,_xlpm.conceptRow+_xlpm.pos,IF(INDEX(Curation!$A:$A,_xlpm.conceptRow)="","",INDEX(Curation!$F:$F,_xlpm.srcRow)))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248" spans="1:4" x14ac:dyDescent="0.3">
      <c r="A248" t="str" cm="1">
        <f t="array" ref="A248">_xlfn.LET(_xlpm.n,ROWS(A$2:A248),_xlpm.block,QUOTIENT(_xlpm.n-1,10),_xlpm.conceptRow,6+_xlpm.block*11,IF(INDEX(Curation!$A:$A,_xlpm.conceptRow)="","",INDEX(Curation!$A:$A,_xlpm.conceptRow)))</f>
        <v>pulóver</v>
      </c>
      <c r="B248" t="s">
        <v>478</v>
      </c>
      <c r="C248" cm="1">
        <f t="array" ref="C248">_xlfn.LET(_xlpm.n,ROWS(C$2:C248),_xlpm.block,QUOTIENT(_xlpm.n-1,10),_xlpm.pos,MOD(_xlpm.n-1,10),_xlpm.conceptRow,6+_xlpm.block*11,_xlpm.srcRow,_xlpm.conceptRow+_xlpm.pos,IF(INDEX(Curation!$A:$A,_xlpm.conceptRow)="","",INDEX(Curation!$E:$E,_xlpm.srcRow)))</f>
        <v>2</v>
      </c>
      <c r="D248" cm="1">
        <f t="array" ref="D248">_xlfn.LET(_xlpm.n,ROWS(D$2:D248),_xlpm.block,QUOTIENT(_xlpm.n-1,10),_xlpm.pos,MOD(_xlpm.n-1,10),_xlpm.conceptRow,6+_xlpm.block*11,_xlpm.srcRow,_xlpm.conceptRow+_xlpm.pos,IF(INDEX(Curation!$A:$A,_xlpm.conceptRow)="","",INDEX(Curation!$F:$F,_xlpm.srcRow)))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49" spans="1:4" x14ac:dyDescent="0.3">
      <c r="A249" t="str" cm="1">
        <f t="array" ref="A249">_xlfn.LET(_xlpm.n,ROWS(A$2:A249),_xlpm.block,QUOTIENT(_xlpm.n-1,10),_xlpm.conceptRow,6+_xlpm.block*11,IF(INDEX(Curation!$A:$A,_xlpm.conceptRow)="","",INDEX(Curation!$A:$A,_xlpm.conceptRow)))</f>
        <v>pulóver</v>
      </c>
      <c r="B249" t="s">
        <v>479</v>
      </c>
      <c r="C249" cm="1">
        <f t="array" ref="C249">_xlfn.LET(_xlpm.n,ROWS(C$2:C249),_xlpm.block,QUOTIENT(_xlpm.n-1,10),_xlpm.pos,MOD(_xlpm.n-1,10),_xlpm.conceptRow,6+_xlpm.block*11,_xlpm.srcRow,_xlpm.conceptRow+_xlpm.pos,IF(INDEX(Curation!$A:$A,_xlpm.conceptRow)="","",INDEX(Curation!$E:$E,_xlpm.srcRow)))</f>
        <v>2</v>
      </c>
      <c r="D249" cm="1">
        <f t="array" ref="D249">_xlfn.LET(_xlpm.n,ROWS(D$2:D249),_xlpm.block,QUOTIENT(_xlpm.n-1,10),_xlpm.pos,MOD(_xlpm.n-1,10),_xlpm.conceptRow,6+_xlpm.block*11,_xlpm.srcRow,_xlpm.conceptRow+_xlpm.pos,IF(INDEX(Curation!$A:$A,_xlpm.conceptRow)="","",INDEX(Curation!$F:$F,_xlpm.srcRow)))</f>
        <v>0.16700000000000001</v>
      </c>
    </row>
    <row r="250" spans="1:4" x14ac:dyDescent="0.3">
      <c r="A250" t="str" cm="1">
        <f t="array" ref="A250">_xlfn.LET(_xlpm.n,ROWS(A$2:A250),_xlpm.block,QUOTIENT(_xlpm.n-1,10),_xlpm.conceptRow,6+_xlpm.block*11,IF(INDEX(Curation!$A:$A,_xlpm.conceptRow)="","",INDEX(Curation!$A:$A,_xlpm.conceptRow)))</f>
        <v>pulóver</v>
      </c>
      <c r="B250" t="s">
        <v>480</v>
      </c>
      <c r="C250" cm="1">
        <f t="array" ref="C250">_xlfn.LET(_xlpm.n,ROWS(C$2:C250),_xlpm.block,QUOTIENT(_xlpm.n-1,10),_xlpm.pos,MOD(_xlpm.n-1,10),_xlpm.conceptRow,6+_xlpm.block*11,_xlpm.srcRow,_xlpm.conceptRow+_xlpm.pos,IF(INDEX(Curation!$A:$A,_xlpm.conceptRow)="","",INDEX(Curation!$E:$E,_xlpm.srcRow)))</f>
        <v>2</v>
      </c>
      <c r="D250" cm="1">
        <f t="array" ref="D250">_xlfn.LET(_xlpm.n,ROWS(D$2:D250),_xlpm.block,QUOTIENT(_xlpm.n-1,10),_xlpm.pos,MOD(_xlpm.n-1,10),_xlpm.conceptRow,6+_xlpm.block*11,_xlpm.srcRow,_xlpm.conceptRow+_xlpm.pos,IF(INDEX(Curation!$A:$A,_xlpm.conceptRow)="","",INDEX(Curation!$F:$F,_xlpm.srcRow)))</f>
        <v>0.16700000000000001</v>
      </c>
    </row>
    <row r="251" spans="1:4" x14ac:dyDescent="0.3">
      <c r="A251" t="str" cm="1">
        <f t="array" ref="A251">_xlfn.LET(_xlpm.n,ROWS(A$2:A251),_xlpm.block,QUOTIENT(_xlpm.n-1,10),_xlpm.conceptRow,6+_xlpm.block*11,IF(INDEX(Curation!$A:$A,_xlpm.conceptRow)="","",INDEX(Curation!$A:$A,_xlpm.conceptRow)))</f>
        <v>pulóver</v>
      </c>
      <c r="B251" t="s">
        <v>481</v>
      </c>
      <c r="C251" cm="1">
        <f t="array" ref="C251">_xlfn.LET(_xlpm.n,ROWS(C$2:C251),_xlpm.block,QUOTIENT(_xlpm.n-1,10),_xlpm.pos,MOD(_xlpm.n-1,10),_xlpm.conceptRow,6+_xlpm.block*11,_xlpm.srcRow,_xlpm.conceptRow+_xlpm.pos,IF(INDEX(Curation!$A:$A,_xlpm.conceptRow)="","",INDEX(Curation!$E:$E,_xlpm.srcRow)))</f>
        <v>3</v>
      </c>
      <c r="D251" cm="1">
        <f t="array" ref="D251">_xlfn.LET(_xlpm.n,ROWS(D$2:D251),_xlpm.block,QUOTIENT(_xlpm.n-1,10),_xlpm.pos,MOD(_xlpm.n-1,10),_xlpm.conceptRow,6+_xlpm.block*11,_xlpm.srcRow,_xlpm.conceptRow+_xlpm.pos,IF(INDEX(Curation!$A:$A,_xlpm.conceptRow)="","",INDEX(Curation!$F:$F,_xlpm.srcRow)))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52" spans="1:4" x14ac:dyDescent="0.3">
      <c r="A252" t="str" cm="1">
        <f t="array" ref="A252">_xlfn.LET(_xlpm.n,ROWS(A$2:A252),_xlpm.block,QUOTIENT(_xlpm.n-1,10),_xlpm.conceptRow,6+_xlpm.block*11,IF(INDEX(Curation!$A:$A,_xlpm.conceptRow)="","",INDEX(Curation!$A:$A,_xlpm.conceptRow)))</f>
        <v>seprű</v>
      </c>
      <c r="B252" t="s">
        <v>472</v>
      </c>
      <c r="C252" cm="1">
        <f t="array" ref="C252">_xlfn.LET(_xlpm.n,ROWS(C$2:C252),_xlpm.block,QUOTIENT(_xlpm.n-1,10),_xlpm.pos,MOD(_xlpm.n-1,10),_xlpm.conceptRow,6+_xlpm.block*11,_xlpm.srcRow,_xlpm.conceptRow+_xlpm.pos,IF(INDEX(Curation!$A:$A,_xlpm.conceptRow)="","",INDEX(Curation!$E:$E,_xlpm.srcRow)))</f>
        <v>10</v>
      </c>
      <c r="D252" cm="1">
        <f t="array" ref="D252">_xlfn.LET(_xlpm.n,ROWS(D$2:D252),_xlpm.block,QUOTIENT(_xlpm.n-1,10),_xlpm.pos,MOD(_xlpm.n-1,10),_xlpm.conceptRow,6+_xlpm.block*11,_xlpm.srcRow,_xlpm.conceptRow+_xlpm.pos,IF(INDEX(Curation!$A:$A,_xlpm.conceptRow)="","",INDEX(Curation!$F:$F,_xlpm.srcRow)))</f>
        <v>8.3000000000000004E-2</v>
      </c>
    </row>
    <row r="253" spans="1:4" x14ac:dyDescent="0.3">
      <c r="A253" t="str" cm="1">
        <f t="array" ref="A253">_xlfn.LET(_xlpm.n,ROWS(A$2:A253),_xlpm.block,QUOTIENT(_xlpm.n-1,10),_xlpm.conceptRow,6+_xlpm.block*11,IF(INDEX(Curation!$A:$A,_xlpm.conceptRow)="","",INDEX(Curation!$A:$A,_xlpm.conceptRow)))</f>
        <v>seprű</v>
      </c>
      <c r="B253" t="s">
        <v>473</v>
      </c>
      <c r="C253" cm="1">
        <f t="array" ref="C253">_xlfn.LET(_xlpm.n,ROWS(C$2:C253),_xlpm.block,QUOTIENT(_xlpm.n-1,10),_xlpm.pos,MOD(_xlpm.n-1,10),_xlpm.conceptRow,6+_xlpm.block*11,_xlpm.srcRow,_xlpm.conceptRow+_xlpm.pos,IF(INDEX(Curation!$A:$A,_xlpm.conceptRow)="","",INDEX(Curation!$E:$E,_xlpm.srcRow)))</f>
        <v>1</v>
      </c>
      <c r="D253" cm="1">
        <f t="array" ref="D253">_xlfn.LET(_xlpm.n,ROWS(D$2:D253),_xlpm.block,QUOTIENT(_xlpm.n-1,10),_xlpm.pos,MOD(_xlpm.n-1,10),_xlpm.conceptRow,6+_xlpm.block*11,_xlpm.srcRow,_xlpm.conceptRow+_xlpm.pos,IF(INDEX(Curation!$A:$A,_xlpm.conceptRow)="","",INDEX(Curation!$F:$F,_xlpm.srcRow)))</f>
        <v>0.14299999999999999</v>
      </c>
    </row>
    <row r="254" spans="1:4" x14ac:dyDescent="0.3">
      <c r="A254" t="str" cm="1">
        <f t="array" ref="A254">_xlfn.LET(_xlpm.n,ROWS(A$2:A254),_xlpm.block,QUOTIENT(_xlpm.n-1,10),_xlpm.conceptRow,6+_xlpm.block*11,IF(INDEX(Curation!$A:$A,_xlpm.conceptRow)="","",INDEX(Curation!$A:$A,_xlpm.conceptRow)))</f>
        <v>seprű</v>
      </c>
      <c r="B254" t="s">
        <v>474</v>
      </c>
      <c r="C254" cm="1">
        <f t="array" ref="C254">_xlfn.LET(_xlpm.n,ROWS(C$2:C254),_xlpm.block,QUOTIENT(_xlpm.n-1,10),_xlpm.pos,MOD(_xlpm.n-1,10),_xlpm.conceptRow,6+_xlpm.block*11,_xlpm.srcRow,_xlpm.conceptRow+_xlpm.pos,IF(INDEX(Curation!$A:$A,_xlpm.conceptRow)="","",INDEX(Curation!$E:$E,_xlpm.srcRow)))</f>
        <v>1</v>
      </c>
      <c r="D254" cm="1">
        <f t="array" ref="D254">_xlfn.LET(_xlpm.n,ROWS(D$2:D254),_xlpm.block,QUOTIENT(_xlpm.n-1,10),_xlpm.pos,MOD(_xlpm.n-1,10),_xlpm.conceptRow,6+_xlpm.block*11,_xlpm.srcRow,_xlpm.conceptRow+_xlpm.pos,IF(INDEX(Curation!$A:$A,_xlpm.conceptRow)="","",INDEX(Curation!$F:$F,_xlpm.srcRow)))</f>
        <v>0.125</v>
      </c>
    </row>
    <row r="255" spans="1:4" x14ac:dyDescent="0.3">
      <c r="A255" t="str" cm="1">
        <f t="array" ref="A255">_xlfn.LET(_xlpm.n,ROWS(A$2:A255),_xlpm.block,QUOTIENT(_xlpm.n-1,10),_xlpm.conceptRow,6+_xlpm.block*11,IF(INDEX(Curation!$A:$A,_xlpm.conceptRow)="","",INDEX(Curation!$A:$A,_xlpm.conceptRow)))</f>
        <v>seprű</v>
      </c>
      <c r="B255" t="s">
        <v>475</v>
      </c>
      <c r="C255" cm="1">
        <f t="array" ref="C255">_xlfn.LET(_xlpm.n,ROWS(C$2:C255),_xlpm.block,QUOTIENT(_xlpm.n-1,10),_xlpm.pos,MOD(_xlpm.n-1,10),_xlpm.conceptRow,6+_xlpm.block*11,_xlpm.srcRow,_xlpm.conceptRow+_xlpm.pos,IF(INDEX(Curation!$A:$A,_xlpm.conceptRow)="","",INDEX(Curation!$E:$E,_xlpm.srcRow)))</f>
        <v>7</v>
      </c>
      <c r="D255" cm="1">
        <f t="array" ref="D255">_xlfn.LET(_xlpm.n,ROWS(D$2:D255),_xlpm.block,QUOTIENT(_xlpm.n-1,10),_xlpm.pos,MOD(_xlpm.n-1,10),_xlpm.conceptRow,6+_xlpm.block*11,_xlpm.srcRow,_xlpm.conceptRow+_xlpm.pos,IF(INDEX(Curation!$A:$A,_xlpm.conceptRow)="","",INDEX(Curation!$F:$F,_xlpm.srcRow)))</f>
        <v>0.16700000000000001</v>
      </c>
    </row>
    <row r="256" spans="1:4" x14ac:dyDescent="0.3">
      <c r="A256" t="str" cm="1">
        <f t="array" ref="A256">_xlfn.LET(_xlpm.n,ROWS(A$2:A256),_xlpm.block,QUOTIENT(_xlpm.n-1,10),_xlpm.conceptRow,6+_xlpm.block*11,IF(INDEX(Curation!$A:$A,_xlpm.conceptRow)="","",INDEX(Curation!$A:$A,_xlpm.conceptRow)))</f>
        <v>seprű</v>
      </c>
      <c r="B256" t="s">
        <v>476</v>
      </c>
      <c r="C256" cm="1">
        <f t="array" ref="C256">_xlfn.LET(_xlpm.n,ROWS(C$2:C256),_xlpm.block,QUOTIENT(_xlpm.n-1,10),_xlpm.pos,MOD(_xlpm.n-1,10),_xlpm.conceptRow,6+_xlpm.block*11,_xlpm.srcRow,_xlpm.conceptRow+_xlpm.pos,IF(INDEX(Curation!$A:$A,_xlpm.conceptRow)="","",INDEX(Curation!$E:$E,_xlpm.srcRow)))</f>
        <v>2</v>
      </c>
      <c r="D256" cm="1">
        <f t="array" ref="D256">_xlfn.LET(_xlpm.n,ROWS(D$2:D256),_xlpm.block,QUOTIENT(_xlpm.n-1,10),_xlpm.pos,MOD(_xlpm.n-1,10),_xlpm.conceptRow,6+_xlpm.block*11,_xlpm.srcRow,_xlpm.conceptRow+_xlpm.pos,IF(INDEX(Curation!$A:$A,_xlpm.conceptRow)="","",INDEX(Curation!$F:$F,_xlpm.srcRow)))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257" spans="1:4" x14ac:dyDescent="0.3">
      <c r="A257" t="str" cm="1">
        <f t="array" ref="A257">_xlfn.LET(_xlpm.n,ROWS(A$2:A257),_xlpm.block,QUOTIENT(_xlpm.n-1,10),_xlpm.conceptRow,6+_xlpm.block*11,IF(INDEX(Curation!$A:$A,_xlpm.conceptRow)="","",INDEX(Curation!$A:$A,_xlpm.conceptRow)))</f>
        <v>seprű</v>
      </c>
      <c r="B257" t="s">
        <v>477</v>
      </c>
      <c r="C257" cm="1">
        <f t="array" ref="C257">_xlfn.LET(_xlpm.n,ROWS(C$2:C257),_xlpm.block,QUOTIENT(_xlpm.n-1,10),_xlpm.pos,MOD(_xlpm.n-1,10),_xlpm.conceptRow,6+_xlpm.block*11,_xlpm.srcRow,_xlpm.conceptRow+_xlpm.pos,IF(INDEX(Curation!$A:$A,_xlpm.conceptRow)="","",INDEX(Curation!$E:$E,_xlpm.srcRow)))</f>
        <v>1</v>
      </c>
      <c r="D257" cm="1">
        <f t="array" ref="D257">_xlfn.LET(_xlpm.n,ROWS(D$2:D257),_xlpm.block,QUOTIENT(_xlpm.n-1,10),_xlpm.pos,MOD(_xlpm.n-1,10),_xlpm.conceptRow,6+_xlpm.block*11,_xlpm.srcRow,_xlpm.conceptRow+_xlpm.pos,IF(INDEX(Curation!$A:$A,_xlpm.conceptRow)="","",INDEX(Curation!$F:$F,_xlpm.srcRow)))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58" spans="1:4" x14ac:dyDescent="0.3">
      <c r="A258" t="str" cm="1">
        <f t="array" ref="A258">_xlfn.LET(_xlpm.n,ROWS(A$2:A258),_xlpm.block,QUOTIENT(_xlpm.n-1,10),_xlpm.conceptRow,6+_xlpm.block*11,IF(INDEX(Curation!$A:$A,_xlpm.conceptRow)="","",INDEX(Curation!$A:$A,_xlpm.conceptRow)))</f>
        <v>seprű</v>
      </c>
      <c r="B258" t="s">
        <v>478</v>
      </c>
      <c r="C258" cm="1">
        <f t="array" ref="C258">_xlfn.LET(_xlpm.n,ROWS(C$2:C258),_xlpm.block,QUOTIENT(_xlpm.n-1,10),_xlpm.pos,MOD(_xlpm.n-1,10),_xlpm.conceptRow,6+_xlpm.block*11,_xlpm.srcRow,_xlpm.conceptRow+_xlpm.pos,IF(INDEX(Curation!$A:$A,_xlpm.conceptRow)="","",INDEX(Curation!$E:$E,_xlpm.srcRow)))</f>
        <v>2</v>
      </c>
      <c r="D258" cm="1">
        <f t="array" ref="D258">_xlfn.LET(_xlpm.n,ROWS(D$2:D258),_xlpm.block,QUOTIENT(_xlpm.n-1,10),_xlpm.pos,MOD(_xlpm.n-1,10),_xlpm.conceptRow,6+_xlpm.block*11,_xlpm.srcRow,_xlpm.conceptRow+_xlpm.pos,IF(INDEX(Curation!$A:$A,_xlpm.conceptRow)="","",INDEX(Curation!$F:$F,_xlpm.srcRow)))</f>
        <v>0.125</v>
      </c>
    </row>
    <row r="259" spans="1:4" x14ac:dyDescent="0.3">
      <c r="A259" t="str" cm="1">
        <f t="array" ref="A259">_xlfn.LET(_xlpm.n,ROWS(A$2:A259),_xlpm.block,QUOTIENT(_xlpm.n-1,10),_xlpm.conceptRow,6+_xlpm.block*11,IF(INDEX(Curation!$A:$A,_xlpm.conceptRow)="","",INDEX(Curation!$A:$A,_xlpm.conceptRow)))</f>
        <v>seprű</v>
      </c>
      <c r="B259" t="s">
        <v>479</v>
      </c>
      <c r="C259" cm="1">
        <f t="array" ref="C259">_xlfn.LET(_xlpm.n,ROWS(C$2:C259),_xlpm.block,QUOTIENT(_xlpm.n-1,10),_xlpm.pos,MOD(_xlpm.n-1,10),_xlpm.conceptRow,6+_xlpm.block*11,_xlpm.srcRow,_xlpm.conceptRow+_xlpm.pos,IF(INDEX(Curation!$A:$A,_xlpm.conceptRow)="","",INDEX(Curation!$E:$E,_xlpm.srcRow)))</f>
        <v>1</v>
      </c>
      <c r="D259" cm="1">
        <f t="array" ref="D259">_xlfn.LET(_xlpm.n,ROWS(D$2:D259),_xlpm.block,QUOTIENT(_xlpm.n-1,10),_xlpm.pos,MOD(_xlpm.n-1,10),_xlpm.conceptRow,6+_xlpm.block*11,_xlpm.srcRow,_xlpm.conceptRow+_xlpm.pos,IF(INDEX(Curation!$A:$A,_xlpm.conceptRow)="","",INDEX(Curation!$F:$F,_xlpm.srcRow)))</f>
        <v>9.0999999999999998E-2</v>
      </c>
    </row>
    <row r="260" spans="1:4" x14ac:dyDescent="0.3">
      <c r="A260" t="str" cm="1">
        <f t="array" ref="A260">_xlfn.LET(_xlpm.n,ROWS(A$2:A260),_xlpm.block,QUOTIENT(_xlpm.n-1,10),_xlpm.conceptRow,6+_xlpm.block*11,IF(INDEX(Curation!$A:$A,_xlpm.conceptRow)="","",INDEX(Curation!$A:$A,_xlpm.conceptRow)))</f>
        <v>seprű</v>
      </c>
      <c r="B260" t="s">
        <v>480</v>
      </c>
      <c r="C260" cm="1">
        <f t="array" ref="C260">_xlfn.LET(_xlpm.n,ROWS(C$2:C260),_xlpm.block,QUOTIENT(_xlpm.n-1,10),_xlpm.pos,MOD(_xlpm.n-1,10),_xlpm.conceptRow,6+_xlpm.block*11,_xlpm.srcRow,_xlpm.conceptRow+_xlpm.pos,IF(INDEX(Curation!$A:$A,_xlpm.conceptRow)="","",INDEX(Curation!$E:$E,_xlpm.srcRow)))</f>
        <v>2</v>
      </c>
      <c r="D260" cm="1">
        <f t="array" ref="D260">_xlfn.LET(_xlpm.n,ROWS(D$2:D260),_xlpm.block,QUOTIENT(_xlpm.n-1,10),_xlpm.pos,MOD(_xlpm.n-1,10),_xlpm.conceptRow,6+_xlpm.block*11,_xlpm.srcRow,_xlpm.conceptRow+_xlpm.pos,IF(INDEX(Curation!$A:$A,_xlpm.conceptRow)="","",INDEX(Curation!$F:$F,_xlpm.srcRow)))</f>
        <v>9.0999999999999998E-2</v>
      </c>
    </row>
    <row r="261" spans="1:4" x14ac:dyDescent="0.3">
      <c r="A261" t="str" cm="1">
        <f t="array" ref="A261">_xlfn.LET(_xlpm.n,ROWS(A$2:A261),_xlpm.block,QUOTIENT(_xlpm.n-1,10),_xlpm.conceptRow,6+_xlpm.block*11,IF(INDEX(Curation!$A:$A,_xlpm.conceptRow)="","",INDEX(Curation!$A:$A,_xlpm.conceptRow)))</f>
        <v>seprű</v>
      </c>
      <c r="B261" t="s">
        <v>481</v>
      </c>
      <c r="C261" cm="1">
        <f t="array" ref="C261">_xlfn.LET(_xlpm.n,ROWS(C$2:C261),_xlpm.block,QUOTIENT(_xlpm.n-1,10),_xlpm.pos,MOD(_xlpm.n-1,10),_xlpm.conceptRow,6+_xlpm.block*11,_xlpm.srcRow,_xlpm.conceptRow+_xlpm.pos,IF(INDEX(Curation!$A:$A,_xlpm.conceptRow)="","",INDEX(Curation!$E:$E,_xlpm.srcRow)))</f>
        <v>1</v>
      </c>
      <c r="D261" cm="1">
        <f t="array" ref="D261">_xlfn.LET(_xlpm.n,ROWS(D$2:D261),_xlpm.block,QUOTIENT(_xlpm.n-1,10),_xlpm.pos,MOD(_xlpm.n-1,10),_xlpm.conceptRow,6+_xlpm.block*11,_xlpm.srcRow,_xlpm.conceptRow+_xlpm.pos,IF(INDEX(Curation!$A:$A,_xlpm.conceptRow)="","",INDEX(Curation!$F:$F,_xlpm.srcRow)))</f>
        <v>0.1</v>
      </c>
    </row>
    <row r="262" spans="1:4" x14ac:dyDescent="0.3">
      <c r="A262" t="str" cm="1">
        <f t="array" ref="A262">_xlfn.LET(_xlpm.n,ROWS(A$2:A262),_xlpm.block,QUOTIENT(_xlpm.n-1,10),_xlpm.conceptRow,6+_xlpm.block*11,IF(INDEX(Curation!$A:$A,_xlpm.conceptRow)="","",INDEX(Curation!$A:$A,_xlpm.conceptRow)))</f>
        <v>szem</v>
      </c>
      <c r="B262" t="s">
        <v>472</v>
      </c>
      <c r="C262" cm="1">
        <f t="array" ref="C262">_xlfn.LET(_xlpm.n,ROWS(C$2:C262),_xlpm.block,QUOTIENT(_xlpm.n-1,10),_xlpm.pos,MOD(_xlpm.n-1,10),_xlpm.conceptRow,6+_xlpm.block*11,_xlpm.srcRow,_xlpm.conceptRow+_xlpm.pos,IF(INDEX(Curation!$A:$A,_xlpm.conceptRow)="","",INDEX(Curation!$E:$E,_xlpm.srcRow)))</f>
        <v>4</v>
      </c>
      <c r="D262" cm="1">
        <f t="array" ref="D262">_xlfn.LET(_xlpm.n,ROWS(D$2:D262),_xlpm.block,QUOTIENT(_xlpm.n-1,10),_xlpm.pos,MOD(_xlpm.n-1,10),_xlpm.conceptRow,6+_xlpm.block*11,_xlpm.srcRow,_xlpm.conceptRow+_xlpm.pos,IF(INDEX(Curation!$A:$A,_xlpm.conceptRow)="","",INDEX(Curation!$F:$F,_xlpm.srcRow)))</f>
        <v>0.1</v>
      </c>
    </row>
    <row r="263" spans="1:4" x14ac:dyDescent="0.3">
      <c r="A263" t="str" cm="1">
        <f t="array" ref="A263">_xlfn.LET(_xlpm.n,ROWS(A$2:A263),_xlpm.block,QUOTIENT(_xlpm.n-1,10),_xlpm.conceptRow,6+_xlpm.block*11,IF(INDEX(Curation!$A:$A,_xlpm.conceptRow)="","",INDEX(Curation!$A:$A,_xlpm.conceptRow)))</f>
        <v>szem</v>
      </c>
      <c r="B263" t="s">
        <v>473</v>
      </c>
      <c r="C263" cm="1">
        <f t="array" ref="C263">_xlfn.LET(_xlpm.n,ROWS(C$2:C263),_xlpm.block,QUOTIENT(_xlpm.n-1,10),_xlpm.pos,MOD(_xlpm.n-1,10),_xlpm.conceptRow,6+_xlpm.block*11,_xlpm.srcRow,_xlpm.conceptRow+_xlpm.pos,IF(INDEX(Curation!$A:$A,_xlpm.conceptRow)="","",INDEX(Curation!$E:$E,_xlpm.srcRow)))</f>
        <v>9</v>
      </c>
      <c r="D263" cm="1">
        <f t="array" ref="D263">_xlfn.LET(_xlpm.n,ROWS(D$2:D263),_xlpm.block,QUOTIENT(_xlpm.n-1,10),_xlpm.pos,MOD(_xlpm.n-1,10),_xlpm.conceptRow,6+_xlpm.block*11,_xlpm.srcRow,_xlpm.conceptRow+_xlpm.pos,IF(INDEX(Curation!$A:$A,_xlpm.conceptRow)="","",INDEX(Curation!$F:$F,_xlpm.srcRow)))</f>
        <v>9.0999999999999998E-2</v>
      </c>
    </row>
    <row r="264" spans="1:4" x14ac:dyDescent="0.3">
      <c r="A264" t="str" cm="1">
        <f t="array" ref="A264">_xlfn.LET(_xlpm.n,ROWS(A$2:A264),_xlpm.block,QUOTIENT(_xlpm.n-1,10),_xlpm.conceptRow,6+_xlpm.block*11,IF(INDEX(Curation!$A:$A,_xlpm.conceptRow)="","",INDEX(Curation!$A:$A,_xlpm.conceptRow)))</f>
        <v>szem</v>
      </c>
      <c r="B264" t="s">
        <v>474</v>
      </c>
      <c r="C264" cm="1">
        <f t="array" ref="C264">_xlfn.LET(_xlpm.n,ROWS(C$2:C264),_xlpm.block,QUOTIENT(_xlpm.n-1,10),_xlpm.pos,MOD(_xlpm.n-1,10),_xlpm.conceptRow,6+_xlpm.block*11,_xlpm.srcRow,_xlpm.conceptRow+_xlpm.pos,IF(INDEX(Curation!$A:$A,_xlpm.conceptRow)="","",INDEX(Curation!$E:$E,_xlpm.srcRow)))</f>
        <v>7</v>
      </c>
      <c r="D264" cm="1">
        <f t="array" ref="D264">_xlfn.LET(_xlpm.n,ROWS(D$2:D264),_xlpm.block,QUOTIENT(_xlpm.n-1,10),_xlpm.pos,MOD(_xlpm.n-1,10),_xlpm.conceptRow,6+_xlpm.block*11,_xlpm.srcRow,_xlpm.conceptRow+_xlpm.pos,IF(INDEX(Curation!$A:$A,_xlpm.conceptRow)="","",INDEX(Curation!$F:$F,_xlpm.srcRow)))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65" spans="1:4" x14ac:dyDescent="0.3">
      <c r="A265" t="str" cm="1">
        <f t="array" ref="A265">_xlfn.LET(_xlpm.n,ROWS(A$2:A265),_xlpm.block,QUOTIENT(_xlpm.n-1,10),_xlpm.conceptRow,6+_xlpm.block*11,IF(INDEX(Curation!$A:$A,_xlpm.conceptRow)="","",INDEX(Curation!$A:$A,_xlpm.conceptRow)))</f>
        <v>szem</v>
      </c>
      <c r="B265" t="s">
        <v>475</v>
      </c>
      <c r="C265" cm="1">
        <f t="array" ref="C265">_xlfn.LET(_xlpm.n,ROWS(C$2:C265),_xlpm.block,QUOTIENT(_xlpm.n-1,10),_xlpm.pos,MOD(_xlpm.n-1,10),_xlpm.conceptRow,6+_xlpm.block*11,_xlpm.srcRow,_xlpm.conceptRow+_xlpm.pos,IF(INDEX(Curation!$A:$A,_xlpm.conceptRow)="","",INDEX(Curation!$E:$E,_xlpm.srcRow)))</f>
        <v>1</v>
      </c>
      <c r="D265" cm="1">
        <f t="array" ref="D265">_xlfn.LET(_xlpm.n,ROWS(D$2:D265),_xlpm.block,QUOTIENT(_xlpm.n-1,10),_xlpm.pos,MOD(_xlpm.n-1,10),_xlpm.conceptRow,6+_xlpm.block*11,_xlpm.srcRow,_xlpm.conceptRow+_xlpm.pos,IF(INDEX(Curation!$A:$A,_xlpm.conceptRow)="","",INDEX(Curation!$F:$F,_xlpm.srcRow)))</f>
        <v>9.0999999999999998E-2</v>
      </c>
    </row>
    <row r="266" spans="1:4" x14ac:dyDescent="0.3">
      <c r="A266" t="str" cm="1">
        <f t="array" ref="A266">_xlfn.LET(_xlpm.n,ROWS(A$2:A266),_xlpm.block,QUOTIENT(_xlpm.n-1,10),_xlpm.conceptRow,6+_xlpm.block*11,IF(INDEX(Curation!$A:$A,_xlpm.conceptRow)="","",INDEX(Curation!$A:$A,_xlpm.conceptRow)))</f>
        <v>szem</v>
      </c>
      <c r="B266" t="s">
        <v>476</v>
      </c>
      <c r="C266" cm="1">
        <f t="array" ref="C266">_xlfn.LET(_xlpm.n,ROWS(C$2:C266),_xlpm.block,QUOTIENT(_xlpm.n-1,10),_xlpm.pos,MOD(_xlpm.n-1,10),_xlpm.conceptRow,6+_xlpm.block*11,_xlpm.srcRow,_xlpm.conceptRow+_xlpm.pos,IF(INDEX(Curation!$A:$A,_xlpm.conceptRow)="","",INDEX(Curation!$E:$E,_xlpm.srcRow)))</f>
        <v>4</v>
      </c>
      <c r="D266" cm="1">
        <f t="array" ref="D266">_xlfn.LET(_xlpm.n,ROWS(D$2:D266),_xlpm.block,QUOTIENT(_xlpm.n-1,10),_xlpm.pos,MOD(_xlpm.n-1,10),_xlpm.conceptRow,6+_xlpm.block*11,_xlpm.srcRow,_xlpm.conceptRow+_xlpm.pos,IF(INDEX(Curation!$A:$A,_xlpm.conceptRow)="","",INDEX(Curation!$F:$F,_xlpm.srcRow)))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267" spans="1:4" x14ac:dyDescent="0.3">
      <c r="A267" t="str" cm="1">
        <f t="array" ref="A267">_xlfn.LET(_xlpm.n,ROWS(A$2:A267),_xlpm.block,QUOTIENT(_xlpm.n-1,10),_xlpm.conceptRow,6+_xlpm.block*11,IF(INDEX(Curation!$A:$A,_xlpm.conceptRow)="","",INDEX(Curation!$A:$A,_xlpm.conceptRow)))</f>
        <v>szem</v>
      </c>
      <c r="B267" t="s">
        <v>477</v>
      </c>
      <c r="C267" cm="1">
        <f t="array" ref="C267">_xlfn.LET(_xlpm.n,ROWS(C$2:C267),_xlpm.block,QUOTIENT(_xlpm.n-1,10),_xlpm.pos,MOD(_xlpm.n-1,10),_xlpm.conceptRow,6+_xlpm.block*11,_xlpm.srcRow,_xlpm.conceptRow+_xlpm.pos,IF(INDEX(Curation!$A:$A,_xlpm.conceptRow)="","",INDEX(Curation!$E:$E,_xlpm.srcRow)))</f>
        <v>9</v>
      </c>
      <c r="D267" cm="1">
        <f t="array" ref="D267">_xlfn.LET(_xlpm.n,ROWS(D$2:D267),_xlpm.block,QUOTIENT(_xlpm.n-1,10),_xlpm.pos,MOD(_xlpm.n-1,10),_xlpm.conceptRow,6+_xlpm.block*11,_xlpm.srcRow,_xlpm.conceptRow+_xlpm.pos,IF(INDEX(Curation!$A:$A,_xlpm.conceptRow)="","",INDEX(Curation!$F:$F,_xlpm.srcRow)))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268" spans="1:4" x14ac:dyDescent="0.3">
      <c r="A268" t="str" cm="1">
        <f t="array" ref="A268">_xlfn.LET(_xlpm.n,ROWS(A$2:A268),_xlpm.block,QUOTIENT(_xlpm.n-1,10),_xlpm.conceptRow,6+_xlpm.block*11,IF(INDEX(Curation!$A:$A,_xlpm.conceptRow)="","",INDEX(Curation!$A:$A,_xlpm.conceptRow)))</f>
        <v>szem</v>
      </c>
      <c r="B268" t="s">
        <v>478</v>
      </c>
      <c r="C268" cm="1">
        <f t="array" ref="C268">_xlfn.LET(_xlpm.n,ROWS(C$2:C268),_xlpm.block,QUOTIENT(_xlpm.n-1,10),_xlpm.pos,MOD(_xlpm.n-1,10),_xlpm.conceptRow,6+_xlpm.block*11,_xlpm.srcRow,_xlpm.conceptRow+_xlpm.pos,IF(INDEX(Curation!$A:$A,_xlpm.conceptRow)="","",INDEX(Curation!$E:$E,_xlpm.srcRow)))</f>
        <v>2</v>
      </c>
      <c r="D268" cm="1">
        <f t="array" ref="D268">_xlfn.LET(_xlpm.n,ROWS(D$2:D268),_xlpm.block,QUOTIENT(_xlpm.n-1,10),_xlpm.pos,MOD(_xlpm.n-1,10),_xlpm.conceptRow,6+_xlpm.block*11,_xlpm.srcRow,_xlpm.conceptRow+_xlpm.pos,IF(INDEX(Curation!$A:$A,_xlpm.conceptRow)="","",INDEX(Curation!$F:$F,_xlpm.srcRow)))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269" spans="1:4" x14ac:dyDescent="0.3">
      <c r="A269" t="str" cm="1">
        <f t="array" ref="A269">_xlfn.LET(_xlpm.n,ROWS(A$2:A269),_xlpm.block,QUOTIENT(_xlpm.n-1,10),_xlpm.conceptRow,6+_xlpm.block*11,IF(INDEX(Curation!$A:$A,_xlpm.conceptRow)="","",INDEX(Curation!$A:$A,_xlpm.conceptRow)))</f>
        <v>szem</v>
      </c>
      <c r="B269" t="s">
        <v>479</v>
      </c>
      <c r="C269" cm="1">
        <f t="array" ref="C269">_xlfn.LET(_xlpm.n,ROWS(C$2:C269),_xlpm.block,QUOTIENT(_xlpm.n-1,10),_xlpm.pos,MOD(_xlpm.n-1,10),_xlpm.conceptRow,6+_xlpm.block*11,_xlpm.srcRow,_xlpm.conceptRow+_xlpm.pos,IF(INDEX(Curation!$A:$A,_xlpm.conceptRow)="","",INDEX(Curation!$E:$E,_xlpm.srcRow)))</f>
        <v>1</v>
      </c>
      <c r="D269" cm="1">
        <f t="array" ref="D269">_xlfn.LET(_xlpm.n,ROWS(D$2:D269),_xlpm.block,QUOTIENT(_xlpm.n-1,10),_xlpm.pos,MOD(_xlpm.n-1,10),_xlpm.conceptRow,6+_xlpm.block*11,_xlpm.srcRow,_xlpm.conceptRow+_xlpm.pos,IF(INDEX(Curation!$A:$A,_xlpm.conceptRow)="","",INDEX(Curation!$F:$F,_xlpm.srcRow)))</f>
        <v>0.111</v>
      </c>
    </row>
    <row r="270" spans="1:4" x14ac:dyDescent="0.3">
      <c r="A270" t="str" cm="1">
        <f t="array" ref="A270">_xlfn.LET(_xlpm.n,ROWS(A$2:A270),_xlpm.block,QUOTIENT(_xlpm.n-1,10),_xlpm.conceptRow,6+_xlpm.block*11,IF(INDEX(Curation!$A:$A,_xlpm.conceptRow)="","",INDEX(Curation!$A:$A,_xlpm.conceptRow)))</f>
        <v>szem</v>
      </c>
      <c r="B270" t="s">
        <v>480</v>
      </c>
      <c r="C270" cm="1">
        <f t="array" ref="C270">_xlfn.LET(_xlpm.n,ROWS(C$2:C270),_xlpm.block,QUOTIENT(_xlpm.n-1,10),_xlpm.pos,MOD(_xlpm.n-1,10),_xlpm.conceptRow,6+_xlpm.block*11,_xlpm.srcRow,_xlpm.conceptRow+_xlpm.pos,IF(INDEX(Curation!$A:$A,_xlpm.conceptRow)="","",INDEX(Curation!$E:$E,_xlpm.srcRow)))</f>
        <v>9</v>
      </c>
      <c r="D270" cm="1">
        <f t="array" ref="D270">_xlfn.LET(_xlpm.n,ROWS(D$2:D270),_xlpm.block,QUOTIENT(_xlpm.n-1,10),_xlpm.pos,MOD(_xlpm.n-1,10),_xlpm.conceptRow,6+_xlpm.block*11,_xlpm.srcRow,_xlpm.conceptRow+_xlpm.pos,IF(INDEX(Curation!$A:$A,_xlpm.conceptRow)="","",INDEX(Curation!$F:$F,_xlpm.srcRow)))</f>
        <v>0.111</v>
      </c>
    </row>
    <row r="271" spans="1:4" x14ac:dyDescent="0.3">
      <c r="A271" t="str" cm="1">
        <f t="array" ref="A271">_xlfn.LET(_xlpm.n,ROWS(A$2:A271),_xlpm.block,QUOTIENT(_xlpm.n-1,10),_xlpm.conceptRow,6+_xlpm.block*11,IF(INDEX(Curation!$A:$A,_xlpm.conceptRow)="","",INDEX(Curation!$A:$A,_xlpm.conceptRow)))</f>
        <v>szem</v>
      </c>
      <c r="B271" t="s">
        <v>481</v>
      </c>
      <c r="C271" cm="1">
        <f t="array" ref="C271">_xlfn.LET(_xlpm.n,ROWS(C$2:C271),_xlpm.block,QUOTIENT(_xlpm.n-1,10),_xlpm.pos,MOD(_xlpm.n-1,10),_xlpm.conceptRow,6+_xlpm.block*11,_xlpm.srcRow,_xlpm.conceptRow+_xlpm.pos,IF(INDEX(Curation!$A:$A,_xlpm.conceptRow)="","",INDEX(Curation!$E:$E,_xlpm.srcRow)))</f>
        <v>1</v>
      </c>
      <c r="D271" cm="1">
        <f t="array" ref="D271">_xlfn.LET(_xlpm.n,ROWS(D$2:D271),_xlpm.block,QUOTIENT(_xlpm.n-1,10),_xlpm.pos,MOD(_xlpm.n-1,10),_xlpm.conceptRow,6+_xlpm.block*11,_xlpm.srcRow,_xlpm.conceptRow+_xlpm.pos,IF(INDEX(Curation!$A:$A,_xlpm.conceptRow)="","",INDEX(Curation!$F:$F,_xlpm.srcRow)))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72" spans="1:4" x14ac:dyDescent="0.3">
      <c r="A272" t="str" cm="1">
        <f t="array" ref="A272">_xlfn.LET(_xlpm.n,ROWS(A$2:A272),_xlpm.block,QUOTIENT(_xlpm.n-1,10),_xlpm.conceptRow,6+_xlpm.block*11,IF(INDEX(Curation!$A:$A,_xlpm.conceptRow)="","",INDEX(Curation!$A:$A,_xlpm.conceptRow)))</f>
        <v>szőnyeg</v>
      </c>
      <c r="B272" t="s">
        <v>472</v>
      </c>
      <c r="C272" cm="1">
        <f t="array" ref="C272">_xlfn.LET(_xlpm.n,ROWS(C$2:C272),_xlpm.block,QUOTIENT(_xlpm.n-1,10),_xlpm.pos,MOD(_xlpm.n-1,10),_xlpm.conceptRow,6+_xlpm.block*11,_xlpm.srcRow,_xlpm.conceptRow+_xlpm.pos,IF(INDEX(Curation!$A:$A,_xlpm.conceptRow)="","",INDEX(Curation!$E:$E,_xlpm.srcRow)))</f>
        <v>2</v>
      </c>
      <c r="D272" cm="1">
        <f t="array" ref="D272">_xlfn.LET(_xlpm.n,ROWS(D$2:D272),_xlpm.block,QUOTIENT(_xlpm.n-1,10),_xlpm.pos,MOD(_xlpm.n-1,10),_xlpm.conceptRow,6+_xlpm.block*11,_xlpm.srcRow,_xlpm.conceptRow+_xlpm.pos,IF(INDEX(Curation!$A:$A,_xlpm.conceptRow)="","",INDEX(Curation!$F:$F,_xlpm.srcRow)))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273" spans="1:4" x14ac:dyDescent="0.3">
      <c r="A273" t="str" cm="1">
        <f t="array" ref="A273">_xlfn.LET(_xlpm.n,ROWS(A$2:A273),_xlpm.block,QUOTIENT(_xlpm.n-1,10),_xlpm.conceptRow,6+_xlpm.block*11,IF(INDEX(Curation!$A:$A,_xlpm.conceptRow)="","",INDEX(Curation!$A:$A,_xlpm.conceptRow)))</f>
        <v>szőnyeg</v>
      </c>
      <c r="B273" t="s">
        <v>473</v>
      </c>
      <c r="C273" cm="1">
        <f t="array" ref="C273">_xlfn.LET(_xlpm.n,ROWS(C$2:C273),_xlpm.block,QUOTIENT(_xlpm.n-1,10),_xlpm.pos,MOD(_xlpm.n-1,10),_xlpm.conceptRow,6+_xlpm.block*11,_xlpm.srcRow,_xlpm.conceptRow+_xlpm.pos,IF(INDEX(Curation!$A:$A,_xlpm.conceptRow)="","",INDEX(Curation!$E:$E,_xlpm.srcRow)))</f>
        <v>1</v>
      </c>
      <c r="D273" cm="1">
        <f t="array" ref="D273">_xlfn.LET(_xlpm.n,ROWS(D$2:D273),_xlpm.block,QUOTIENT(_xlpm.n-1,10),_xlpm.pos,MOD(_xlpm.n-1,10),_xlpm.conceptRow,6+_xlpm.block*11,_xlpm.srcRow,_xlpm.conceptRow+_xlpm.pos,IF(INDEX(Curation!$A:$A,_xlpm.conceptRow)="","",INDEX(Curation!$F:$F,_xlpm.srcRow)))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274" spans="1:4" x14ac:dyDescent="0.3">
      <c r="A274" t="str" cm="1">
        <f t="array" ref="A274">_xlfn.LET(_xlpm.n,ROWS(A$2:A274),_xlpm.block,QUOTIENT(_xlpm.n-1,10),_xlpm.conceptRow,6+_xlpm.block*11,IF(INDEX(Curation!$A:$A,_xlpm.conceptRow)="","",INDEX(Curation!$A:$A,_xlpm.conceptRow)))</f>
        <v>szőnyeg</v>
      </c>
      <c r="B274" t="s">
        <v>474</v>
      </c>
      <c r="C274" cm="1">
        <f t="array" ref="C274">_xlfn.LET(_xlpm.n,ROWS(C$2:C274),_xlpm.block,QUOTIENT(_xlpm.n-1,10),_xlpm.pos,MOD(_xlpm.n-1,10),_xlpm.conceptRow,6+_xlpm.block*11,_xlpm.srcRow,_xlpm.conceptRow+_xlpm.pos,IF(INDEX(Curation!$A:$A,_xlpm.conceptRow)="","",INDEX(Curation!$E:$E,_xlpm.srcRow)))</f>
        <v>5</v>
      </c>
      <c r="D274" cm="1">
        <f t="array" ref="D274">_xlfn.LET(_xlpm.n,ROWS(D$2:D274),_xlpm.block,QUOTIENT(_xlpm.n-1,10),_xlpm.pos,MOD(_xlpm.n-1,10),_xlpm.conceptRow,6+_xlpm.block*11,_xlpm.srcRow,_xlpm.conceptRow+_xlpm.pos,IF(INDEX(Curation!$A:$A,_xlpm.conceptRow)="","",INDEX(Curation!$F:$F,_xlpm.srcRow)))</f>
        <v>0.05</v>
      </c>
    </row>
    <row r="275" spans="1:4" x14ac:dyDescent="0.3">
      <c r="A275" t="str" cm="1">
        <f t="array" ref="A275">_xlfn.LET(_xlpm.n,ROWS(A$2:A275),_xlpm.block,QUOTIENT(_xlpm.n-1,10),_xlpm.conceptRow,6+_xlpm.block*11,IF(INDEX(Curation!$A:$A,_xlpm.conceptRow)="","",INDEX(Curation!$A:$A,_xlpm.conceptRow)))</f>
        <v>szőnyeg</v>
      </c>
      <c r="B275" t="s">
        <v>475</v>
      </c>
      <c r="C275" cm="1">
        <f t="array" ref="C275">_xlfn.LET(_xlpm.n,ROWS(C$2:C275),_xlpm.block,QUOTIENT(_xlpm.n-1,10),_xlpm.pos,MOD(_xlpm.n-1,10),_xlpm.conceptRow,6+_xlpm.block*11,_xlpm.srcRow,_xlpm.conceptRow+_xlpm.pos,IF(INDEX(Curation!$A:$A,_xlpm.conceptRow)="","",INDEX(Curation!$E:$E,_xlpm.srcRow)))</f>
        <v>5</v>
      </c>
      <c r="D275" cm="1">
        <f t="array" ref="D275">_xlfn.LET(_xlpm.n,ROWS(D$2:D275),_xlpm.block,QUOTIENT(_xlpm.n-1,10),_xlpm.pos,MOD(_xlpm.n-1,10),_xlpm.conceptRow,6+_xlpm.block*11,_xlpm.srcRow,_xlpm.conceptRow+_xlpm.pos,IF(INDEX(Curation!$A:$A,_xlpm.conceptRow)="","",INDEX(Curation!$F:$F,_xlpm.srcRow)))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276" spans="1:4" x14ac:dyDescent="0.3">
      <c r="A276" t="str" cm="1">
        <f t="array" ref="A276">_xlfn.LET(_xlpm.n,ROWS(A$2:A276),_xlpm.block,QUOTIENT(_xlpm.n-1,10),_xlpm.conceptRow,6+_xlpm.block*11,IF(INDEX(Curation!$A:$A,_xlpm.conceptRow)="","",INDEX(Curation!$A:$A,_xlpm.conceptRow)))</f>
        <v>szőnyeg</v>
      </c>
      <c r="B276" t="s">
        <v>476</v>
      </c>
      <c r="C276" cm="1">
        <f t="array" ref="C276">_xlfn.LET(_xlpm.n,ROWS(C$2:C276),_xlpm.block,QUOTIENT(_xlpm.n-1,10),_xlpm.pos,MOD(_xlpm.n-1,10),_xlpm.conceptRow,6+_xlpm.block*11,_xlpm.srcRow,_xlpm.conceptRow+_xlpm.pos,IF(INDEX(Curation!$A:$A,_xlpm.conceptRow)="","",INDEX(Curation!$E:$E,_xlpm.srcRow)))</f>
        <v>1</v>
      </c>
      <c r="D276" cm="1">
        <f t="array" ref="D276">_xlfn.LET(_xlpm.n,ROWS(D$2:D276),_xlpm.block,QUOTIENT(_xlpm.n-1,10),_xlpm.pos,MOD(_xlpm.n-1,10),_xlpm.conceptRow,6+_xlpm.block*11,_xlpm.srcRow,_xlpm.conceptRow+_xlpm.pos,IF(INDEX(Curation!$A:$A,_xlpm.conceptRow)="","",INDEX(Curation!$F:$F,_xlpm.srcRow)))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277" spans="1:4" x14ac:dyDescent="0.3">
      <c r="A277" t="str" cm="1">
        <f t="array" ref="A277">_xlfn.LET(_xlpm.n,ROWS(A$2:A277),_xlpm.block,QUOTIENT(_xlpm.n-1,10),_xlpm.conceptRow,6+_xlpm.block*11,IF(INDEX(Curation!$A:$A,_xlpm.conceptRow)="","",INDEX(Curation!$A:$A,_xlpm.conceptRow)))</f>
        <v>szőnyeg</v>
      </c>
      <c r="B277" t="s">
        <v>477</v>
      </c>
      <c r="C277" cm="1">
        <f t="array" ref="C277">_xlfn.LET(_xlpm.n,ROWS(C$2:C277),_xlpm.block,QUOTIENT(_xlpm.n-1,10),_xlpm.pos,MOD(_xlpm.n-1,10),_xlpm.conceptRow,6+_xlpm.block*11,_xlpm.srcRow,_xlpm.conceptRow+_xlpm.pos,IF(INDEX(Curation!$A:$A,_xlpm.conceptRow)="","",INDEX(Curation!$E:$E,_xlpm.srcRow)))</f>
        <v>2</v>
      </c>
      <c r="D277" cm="1">
        <f t="array" ref="D277">_xlfn.LET(_xlpm.n,ROWS(D$2:D277),_xlpm.block,QUOTIENT(_xlpm.n-1,10),_xlpm.pos,MOD(_xlpm.n-1,10),_xlpm.conceptRow,6+_xlpm.block*11,_xlpm.srcRow,_xlpm.conceptRow+_xlpm.pos,IF(INDEX(Curation!$A:$A,_xlpm.conceptRow)="","",INDEX(Curation!$F:$F,_xlpm.srcRow)))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78" spans="1:4" x14ac:dyDescent="0.3">
      <c r="A278" t="str" cm="1">
        <f t="array" ref="A278">_xlfn.LET(_xlpm.n,ROWS(A$2:A278),_xlpm.block,QUOTIENT(_xlpm.n-1,10),_xlpm.conceptRow,6+_xlpm.block*11,IF(INDEX(Curation!$A:$A,_xlpm.conceptRow)="","",INDEX(Curation!$A:$A,_xlpm.conceptRow)))</f>
        <v>szőnyeg</v>
      </c>
      <c r="B278" t="s">
        <v>478</v>
      </c>
      <c r="C278" cm="1">
        <f t="array" ref="C278">_xlfn.LET(_xlpm.n,ROWS(C$2:C278),_xlpm.block,QUOTIENT(_xlpm.n-1,10),_xlpm.pos,MOD(_xlpm.n-1,10),_xlpm.conceptRow,6+_xlpm.block*11,_xlpm.srcRow,_xlpm.conceptRow+_xlpm.pos,IF(INDEX(Curation!$A:$A,_xlpm.conceptRow)="","",INDEX(Curation!$E:$E,_xlpm.srcRow)))</f>
        <v>1</v>
      </c>
      <c r="D278" cm="1">
        <f t="array" ref="D278">_xlfn.LET(_xlpm.n,ROWS(D$2:D278),_xlpm.block,QUOTIENT(_xlpm.n-1,10),_xlpm.pos,MOD(_xlpm.n-1,10),_xlpm.conceptRow,6+_xlpm.block*11,_xlpm.srcRow,_xlpm.conceptRow+_xlpm.pos,IF(INDEX(Curation!$A:$A,_xlpm.conceptRow)="","",INDEX(Curation!$F:$F,_xlpm.srcRow)))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79" spans="1:4" x14ac:dyDescent="0.3">
      <c r="A279" t="str" cm="1">
        <f t="array" ref="A279">_xlfn.LET(_xlpm.n,ROWS(A$2:A279),_xlpm.block,QUOTIENT(_xlpm.n-1,10),_xlpm.conceptRow,6+_xlpm.block*11,IF(INDEX(Curation!$A:$A,_xlpm.conceptRow)="","",INDEX(Curation!$A:$A,_xlpm.conceptRow)))</f>
        <v>szőnyeg</v>
      </c>
      <c r="B279" t="s">
        <v>479</v>
      </c>
      <c r="C279" cm="1">
        <f t="array" ref="C279">_xlfn.LET(_xlpm.n,ROWS(C$2:C279),_xlpm.block,QUOTIENT(_xlpm.n-1,10),_xlpm.pos,MOD(_xlpm.n-1,10),_xlpm.conceptRow,6+_xlpm.block*11,_xlpm.srcRow,_xlpm.conceptRow+_xlpm.pos,IF(INDEX(Curation!$A:$A,_xlpm.conceptRow)="","",INDEX(Curation!$E:$E,_xlpm.srcRow)))</f>
        <v>3</v>
      </c>
      <c r="D279" cm="1">
        <f t="array" ref="D279">_xlfn.LET(_xlpm.n,ROWS(D$2:D279),_xlpm.block,QUOTIENT(_xlpm.n-1,10),_xlpm.pos,MOD(_xlpm.n-1,10),_xlpm.conceptRow,6+_xlpm.block*11,_xlpm.srcRow,_xlpm.conceptRow+_xlpm.pos,IF(INDEX(Curation!$A:$A,_xlpm.conceptRow)="","",INDEX(Curation!$F:$F,_xlpm.srcRow)))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280" spans="1:4" x14ac:dyDescent="0.3">
      <c r="A280" t="str" cm="1">
        <f t="array" ref="A280">_xlfn.LET(_xlpm.n,ROWS(A$2:A280),_xlpm.block,QUOTIENT(_xlpm.n-1,10),_xlpm.conceptRow,6+_xlpm.block*11,IF(INDEX(Curation!$A:$A,_xlpm.conceptRow)="","",INDEX(Curation!$A:$A,_xlpm.conceptRow)))</f>
        <v>szőnyeg</v>
      </c>
      <c r="B280" t="s">
        <v>480</v>
      </c>
      <c r="C280" cm="1">
        <f t="array" ref="C280">_xlfn.LET(_xlpm.n,ROWS(C$2:C280),_xlpm.block,QUOTIENT(_xlpm.n-1,10),_xlpm.pos,MOD(_xlpm.n-1,10),_xlpm.conceptRow,6+_xlpm.block*11,_xlpm.srcRow,_xlpm.conceptRow+_xlpm.pos,IF(INDEX(Curation!$A:$A,_xlpm.conceptRow)="","",INDEX(Curation!$E:$E,_xlpm.srcRow)))</f>
        <v>9</v>
      </c>
      <c r="D280" cm="1">
        <f t="array" ref="D280">_xlfn.LET(_xlpm.n,ROWS(D$2:D280),_xlpm.block,QUOTIENT(_xlpm.n-1,10),_xlpm.pos,MOD(_xlpm.n-1,10),_xlpm.conceptRow,6+_xlpm.block*11,_xlpm.srcRow,_xlpm.conceptRow+_xlpm.pos,IF(INDEX(Curation!$A:$A,_xlpm.conceptRow)="","",INDEX(Curation!$F:$F,_xlpm.srcRow)))</f>
        <v>0.16700000000000001</v>
      </c>
    </row>
    <row r="281" spans="1:4" x14ac:dyDescent="0.3">
      <c r="A281" t="str" cm="1">
        <f t="array" ref="A281">_xlfn.LET(_xlpm.n,ROWS(A$2:A281),_xlpm.block,QUOTIENT(_xlpm.n-1,10),_xlpm.conceptRow,6+_xlpm.block*11,IF(INDEX(Curation!$A:$A,_xlpm.conceptRow)="","",INDEX(Curation!$A:$A,_xlpm.conceptRow)))</f>
        <v>szőnyeg</v>
      </c>
      <c r="B281" t="s">
        <v>481</v>
      </c>
      <c r="C281" cm="1">
        <f t="array" ref="C281">_xlfn.LET(_xlpm.n,ROWS(C$2:C281),_xlpm.block,QUOTIENT(_xlpm.n-1,10),_xlpm.pos,MOD(_xlpm.n-1,10),_xlpm.conceptRow,6+_xlpm.block*11,_xlpm.srcRow,_xlpm.conceptRow+_xlpm.pos,IF(INDEX(Curation!$A:$A,_xlpm.conceptRow)="","",INDEX(Curation!$E:$E,_xlpm.srcRow)))</f>
        <v>1</v>
      </c>
      <c r="D281" cm="1">
        <f t="array" ref="D281">_xlfn.LET(_xlpm.n,ROWS(D$2:D281),_xlpm.block,QUOTIENT(_xlpm.n-1,10),_xlpm.pos,MOD(_xlpm.n-1,10),_xlpm.conceptRow,6+_xlpm.block*11,_xlpm.srcRow,_xlpm.conceptRow+_xlpm.pos,IF(INDEX(Curation!$A:$A,_xlpm.conceptRow)="","",INDEX(Curation!$F:$F,_xlpm.srcRow)))</f>
        <v>0.125</v>
      </c>
    </row>
    <row r="282" spans="1:4" x14ac:dyDescent="0.3">
      <c r="A282" t="str" cm="1">
        <f t="array" ref="A282">_xlfn.LET(_xlpm.n,ROWS(A$2:A282),_xlpm.block,QUOTIENT(_xlpm.n-1,10),_xlpm.conceptRow,6+_xlpm.block*11,IF(INDEX(Curation!$A:$A,_xlpm.conceptRow)="","",INDEX(Curation!$A:$A,_xlpm.conceptRow)))</f>
        <v>tűzoltó</v>
      </c>
      <c r="B282" t="s">
        <v>472</v>
      </c>
      <c r="C282" cm="1">
        <f t="array" ref="C282">_xlfn.LET(_xlpm.n,ROWS(C$2:C282),_xlpm.block,QUOTIENT(_xlpm.n-1,10),_xlpm.pos,MOD(_xlpm.n-1,10),_xlpm.conceptRow,6+_xlpm.block*11,_xlpm.srcRow,_xlpm.conceptRow+_xlpm.pos,IF(INDEX(Curation!$A:$A,_xlpm.conceptRow)="","",INDEX(Curation!$E:$E,_xlpm.srcRow)))</f>
        <v>1</v>
      </c>
      <c r="D282" cm="1">
        <f t="array" ref="D282">_xlfn.LET(_xlpm.n,ROWS(D$2:D282),_xlpm.block,QUOTIENT(_xlpm.n-1,10),_xlpm.pos,MOD(_xlpm.n-1,10),_xlpm.conceptRow,6+_xlpm.block*11,_xlpm.srcRow,_xlpm.conceptRow+_xlpm.pos,IF(INDEX(Curation!$A:$A,_xlpm.conceptRow)="","",INDEX(Curation!$F:$F,_xlpm.srcRow)))</f>
        <v>0.14299999999999999</v>
      </c>
    </row>
    <row r="283" spans="1:4" x14ac:dyDescent="0.3">
      <c r="A283" t="str" cm="1">
        <f t="array" ref="A283">_xlfn.LET(_xlpm.n,ROWS(A$2:A283),_xlpm.block,QUOTIENT(_xlpm.n-1,10),_xlpm.conceptRow,6+_xlpm.block*11,IF(INDEX(Curation!$A:$A,_xlpm.conceptRow)="","",INDEX(Curation!$A:$A,_xlpm.conceptRow)))</f>
        <v>tűzoltó</v>
      </c>
      <c r="B283" t="s">
        <v>473</v>
      </c>
      <c r="C283" cm="1">
        <f t="array" ref="C283">_xlfn.LET(_xlpm.n,ROWS(C$2:C283),_xlpm.block,QUOTIENT(_xlpm.n-1,10),_xlpm.pos,MOD(_xlpm.n-1,10),_xlpm.conceptRow,6+_xlpm.block*11,_xlpm.srcRow,_xlpm.conceptRow+_xlpm.pos,IF(INDEX(Curation!$A:$A,_xlpm.conceptRow)="","",INDEX(Curation!$E:$E,_xlpm.srcRow)))</f>
        <v>3</v>
      </c>
      <c r="D283" cm="1">
        <f t="array" ref="D283">_xlfn.LET(_xlpm.n,ROWS(D$2:D283),_xlpm.block,QUOTIENT(_xlpm.n-1,10),_xlpm.pos,MOD(_xlpm.n-1,10),_xlpm.conceptRow,6+_xlpm.block*11,_xlpm.srcRow,_xlpm.conceptRow+_xlpm.pos,IF(INDEX(Curation!$A:$A,_xlpm.conceptRow)="","",INDEX(Curation!$F:$F,_xlpm.srcRow)))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84" spans="1:4" x14ac:dyDescent="0.3">
      <c r="A284" t="str" cm="1">
        <f t="array" ref="A284">_xlfn.LET(_xlpm.n,ROWS(A$2:A284),_xlpm.block,QUOTIENT(_xlpm.n-1,10),_xlpm.conceptRow,6+_xlpm.block*11,IF(INDEX(Curation!$A:$A,_xlpm.conceptRow)="","",INDEX(Curation!$A:$A,_xlpm.conceptRow)))</f>
        <v>tűzoltó</v>
      </c>
      <c r="B284" t="s">
        <v>474</v>
      </c>
      <c r="C284" cm="1">
        <f t="array" ref="C284">_xlfn.LET(_xlpm.n,ROWS(C$2:C284),_xlpm.block,QUOTIENT(_xlpm.n-1,10),_xlpm.pos,MOD(_xlpm.n-1,10),_xlpm.conceptRow,6+_xlpm.block*11,_xlpm.srcRow,_xlpm.conceptRow+_xlpm.pos,IF(INDEX(Curation!$A:$A,_xlpm.conceptRow)="","",INDEX(Curation!$E:$E,_xlpm.srcRow)))</f>
        <v>3</v>
      </c>
      <c r="D284" cm="1">
        <f t="array" ref="D284">_xlfn.LET(_xlpm.n,ROWS(D$2:D284),_xlpm.block,QUOTIENT(_xlpm.n-1,10),_xlpm.pos,MOD(_xlpm.n-1,10),_xlpm.conceptRow,6+_xlpm.block*11,_xlpm.srcRow,_xlpm.conceptRow+_xlpm.pos,IF(INDEX(Curation!$A:$A,_xlpm.conceptRow)="","",INDEX(Curation!$F:$F,_xlpm.srcRow)))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85" spans="1:4" x14ac:dyDescent="0.3">
      <c r="A285" t="str" cm="1">
        <f t="array" ref="A285">_xlfn.LET(_xlpm.n,ROWS(A$2:A285),_xlpm.block,QUOTIENT(_xlpm.n-1,10),_xlpm.conceptRow,6+_xlpm.block*11,IF(INDEX(Curation!$A:$A,_xlpm.conceptRow)="","",INDEX(Curation!$A:$A,_xlpm.conceptRow)))</f>
        <v>tűzoltó</v>
      </c>
      <c r="B285" t="s">
        <v>475</v>
      </c>
      <c r="C285" cm="1">
        <f t="array" ref="C285">_xlfn.LET(_xlpm.n,ROWS(C$2:C285),_xlpm.block,QUOTIENT(_xlpm.n-1,10),_xlpm.pos,MOD(_xlpm.n-1,10),_xlpm.conceptRow,6+_xlpm.block*11,_xlpm.srcRow,_xlpm.conceptRow+_xlpm.pos,IF(INDEX(Curation!$A:$A,_xlpm.conceptRow)="","",INDEX(Curation!$E:$E,_xlpm.srcRow)))</f>
        <v>2</v>
      </c>
      <c r="D285" cm="1">
        <f t="array" ref="D285">_xlfn.LET(_xlpm.n,ROWS(D$2:D285),_xlpm.block,QUOTIENT(_xlpm.n-1,10),_xlpm.pos,MOD(_xlpm.n-1,10),_xlpm.conceptRow,6+_xlpm.block*11,_xlpm.srcRow,_xlpm.conceptRow+_xlpm.pos,IF(INDEX(Curation!$A:$A,_xlpm.conceptRow)="","",INDEX(Curation!$F:$F,_xlpm.srcRow)))</f>
        <v>0.125</v>
      </c>
    </row>
    <row r="286" spans="1:4" x14ac:dyDescent="0.3">
      <c r="A286" t="str" cm="1">
        <f t="array" ref="A286">_xlfn.LET(_xlpm.n,ROWS(A$2:A286),_xlpm.block,QUOTIENT(_xlpm.n-1,10),_xlpm.conceptRow,6+_xlpm.block*11,IF(INDEX(Curation!$A:$A,_xlpm.conceptRow)="","",INDEX(Curation!$A:$A,_xlpm.conceptRow)))</f>
        <v>tűzoltó</v>
      </c>
      <c r="B286" t="s">
        <v>476</v>
      </c>
      <c r="C286" cm="1">
        <f t="array" ref="C286">_xlfn.LET(_xlpm.n,ROWS(C$2:C286),_xlpm.block,QUOTIENT(_xlpm.n-1,10),_xlpm.pos,MOD(_xlpm.n-1,10),_xlpm.conceptRow,6+_xlpm.block*11,_xlpm.srcRow,_xlpm.conceptRow+_xlpm.pos,IF(INDEX(Curation!$A:$A,_xlpm.conceptRow)="","",INDEX(Curation!$E:$E,_xlpm.srcRow)))</f>
        <v>3</v>
      </c>
      <c r="D286" cm="1">
        <f t="array" ref="D286">_xlfn.LET(_xlpm.n,ROWS(D$2:D286),_xlpm.block,QUOTIENT(_xlpm.n-1,10),_xlpm.pos,MOD(_xlpm.n-1,10),_xlpm.conceptRow,6+_xlpm.block*11,_xlpm.srcRow,_xlpm.conceptRow+_xlpm.pos,IF(INDEX(Curation!$A:$A,_xlpm.conceptRow)="","",INDEX(Curation!$F:$F,_xlpm.srcRow)))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87" spans="1:4" x14ac:dyDescent="0.3">
      <c r="A287" t="str" cm="1">
        <f t="array" ref="A287">_xlfn.LET(_xlpm.n,ROWS(A$2:A287),_xlpm.block,QUOTIENT(_xlpm.n-1,10),_xlpm.conceptRow,6+_xlpm.block*11,IF(INDEX(Curation!$A:$A,_xlpm.conceptRow)="","",INDEX(Curation!$A:$A,_xlpm.conceptRow)))</f>
        <v>tűzoltó</v>
      </c>
      <c r="B287" t="s">
        <v>477</v>
      </c>
      <c r="C287" cm="1">
        <f t="array" ref="C287">_xlfn.LET(_xlpm.n,ROWS(C$2:C287),_xlpm.block,QUOTIENT(_xlpm.n-1,10),_xlpm.pos,MOD(_xlpm.n-1,10),_xlpm.conceptRow,6+_xlpm.block*11,_xlpm.srcRow,_xlpm.conceptRow+_xlpm.pos,IF(INDEX(Curation!$A:$A,_xlpm.conceptRow)="","",INDEX(Curation!$E:$E,_xlpm.srcRow)))</f>
        <v>4</v>
      </c>
      <c r="D287" cm="1">
        <f t="array" ref="D287">_xlfn.LET(_xlpm.n,ROWS(D$2:D287),_xlpm.block,QUOTIENT(_xlpm.n-1,10),_xlpm.pos,MOD(_xlpm.n-1,10),_xlpm.conceptRow,6+_xlpm.block*11,_xlpm.srcRow,_xlpm.conceptRow+_xlpm.pos,IF(INDEX(Curation!$A:$A,_xlpm.conceptRow)="","",INDEX(Curation!$F:$F,_xlpm.srcRow)))</f>
        <v>8.3000000000000004E-2</v>
      </c>
    </row>
    <row r="288" spans="1:4" x14ac:dyDescent="0.3">
      <c r="A288" t="str" cm="1">
        <f t="array" ref="A288">_xlfn.LET(_xlpm.n,ROWS(A$2:A288),_xlpm.block,QUOTIENT(_xlpm.n-1,10),_xlpm.conceptRow,6+_xlpm.block*11,IF(INDEX(Curation!$A:$A,_xlpm.conceptRow)="","",INDEX(Curation!$A:$A,_xlpm.conceptRow)))</f>
        <v>tűzoltó</v>
      </c>
      <c r="B288" t="s">
        <v>478</v>
      </c>
      <c r="C288" cm="1">
        <f t="array" ref="C288">_xlfn.LET(_xlpm.n,ROWS(C$2:C288),_xlpm.block,QUOTIENT(_xlpm.n-1,10),_xlpm.pos,MOD(_xlpm.n-1,10),_xlpm.conceptRow,6+_xlpm.block*11,_xlpm.srcRow,_xlpm.conceptRow+_xlpm.pos,IF(INDEX(Curation!$A:$A,_xlpm.conceptRow)="","",INDEX(Curation!$E:$E,_xlpm.srcRow)))</f>
        <v>1</v>
      </c>
      <c r="D288" cm="1">
        <f t="array" ref="D288">_xlfn.LET(_xlpm.n,ROWS(D$2:D288),_xlpm.block,QUOTIENT(_xlpm.n-1,10),_xlpm.pos,MOD(_xlpm.n-1,10),_xlpm.conceptRow,6+_xlpm.block*11,_xlpm.srcRow,_xlpm.conceptRow+_xlpm.pos,IF(INDEX(Curation!$A:$A,_xlpm.conceptRow)="","",INDEX(Curation!$F:$F,_xlpm.srcRow)))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289" spans="1:4" x14ac:dyDescent="0.3">
      <c r="A289" t="str" cm="1">
        <f t="array" ref="A289">_xlfn.LET(_xlpm.n,ROWS(A$2:A289),_xlpm.block,QUOTIENT(_xlpm.n-1,10),_xlpm.conceptRow,6+_xlpm.block*11,IF(INDEX(Curation!$A:$A,_xlpm.conceptRow)="","",INDEX(Curation!$A:$A,_xlpm.conceptRow)))</f>
        <v>tűzoltó</v>
      </c>
      <c r="B289" t="s">
        <v>479</v>
      </c>
      <c r="C289" cm="1">
        <f t="array" ref="C289">_xlfn.LET(_xlpm.n,ROWS(C$2:C289),_xlpm.block,QUOTIENT(_xlpm.n-1,10),_xlpm.pos,MOD(_xlpm.n-1,10),_xlpm.conceptRow,6+_xlpm.block*11,_xlpm.srcRow,_xlpm.conceptRow+_xlpm.pos,IF(INDEX(Curation!$A:$A,_xlpm.conceptRow)="","",INDEX(Curation!$E:$E,_xlpm.srcRow)))</f>
        <v>1</v>
      </c>
      <c r="D289" cm="1">
        <f t="array" ref="D289">_xlfn.LET(_xlpm.n,ROWS(D$2:D289),_xlpm.block,QUOTIENT(_xlpm.n-1,10),_xlpm.pos,MOD(_xlpm.n-1,10),_xlpm.conceptRow,6+_xlpm.block*11,_xlpm.srcRow,_xlpm.conceptRow+_xlpm.pos,IF(INDEX(Curation!$A:$A,_xlpm.conceptRow)="","",INDEX(Curation!$F:$F,_xlpm.srcRow)))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290" spans="1:4" x14ac:dyDescent="0.3">
      <c r="A290" t="str" cm="1">
        <f t="array" ref="A290">_xlfn.LET(_xlpm.n,ROWS(A$2:A290),_xlpm.block,QUOTIENT(_xlpm.n-1,10),_xlpm.conceptRow,6+_xlpm.block*11,IF(INDEX(Curation!$A:$A,_xlpm.conceptRow)="","",INDEX(Curation!$A:$A,_xlpm.conceptRow)))</f>
        <v>tűzoltó</v>
      </c>
      <c r="B290" t="s">
        <v>480</v>
      </c>
      <c r="C290" cm="1">
        <f t="array" ref="C290">_xlfn.LET(_xlpm.n,ROWS(C$2:C290),_xlpm.block,QUOTIENT(_xlpm.n-1,10),_xlpm.pos,MOD(_xlpm.n-1,10),_xlpm.conceptRow,6+_xlpm.block*11,_xlpm.srcRow,_xlpm.conceptRow+_xlpm.pos,IF(INDEX(Curation!$A:$A,_xlpm.conceptRow)="","",INDEX(Curation!$E:$E,_xlpm.srcRow)))</f>
        <v>1</v>
      </c>
      <c r="D290" cm="1">
        <f t="array" ref="D290">_xlfn.LET(_xlpm.n,ROWS(D$2:D290),_xlpm.block,QUOTIENT(_xlpm.n-1,10),_xlpm.pos,MOD(_xlpm.n-1,10),_xlpm.conceptRow,6+_xlpm.block*11,_xlpm.srcRow,_xlpm.conceptRow+_xlpm.pos,IF(INDEX(Curation!$A:$A,_xlpm.conceptRow)="","",INDEX(Curation!$F:$F,_xlpm.srcRow)))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91" spans="1:4" x14ac:dyDescent="0.3">
      <c r="A291" t="str" cm="1">
        <f t="array" ref="A291">_xlfn.LET(_xlpm.n,ROWS(A$2:A291),_xlpm.block,QUOTIENT(_xlpm.n-1,10),_xlpm.conceptRow,6+_xlpm.block*11,IF(INDEX(Curation!$A:$A,_xlpm.conceptRow)="","",INDEX(Curation!$A:$A,_xlpm.conceptRow)))</f>
        <v>tűzoltó</v>
      </c>
      <c r="B291" t="s">
        <v>481</v>
      </c>
      <c r="C291" cm="1">
        <f t="array" ref="C291">_xlfn.LET(_xlpm.n,ROWS(C$2:C291),_xlpm.block,QUOTIENT(_xlpm.n-1,10),_xlpm.pos,MOD(_xlpm.n-1,10),_xlpm.conceptRow,6+_xlpm.block*11,_xlpm.srcRow,_xlpm.conceptRow+_xlpm.pos,IF(INDEX(Curation!$A:$A,_xlpm.conceptRow)="","",INDEX(Curation!$E:$E,_xlpm.srcRow)))</f>
        <v>3</v>
      </c>
      <c r="D291" cm="1">
        <f t="array" ref="D291">_xlfn.LET(_xlpm.n,ROWS(D$2:D291),_xlpm.block,QUOTIENT(_xlpm.n-1,10),_xlpm.pos,MOD(_xlpm.n-1,10),_xlpm.conceptRow,6+_xlpm.block*11,_xlpm.srcRow,_xlpm.conceptRow+_xlpm.pos,IF(INDEX(Curation!$A:$A,_xlpm.conceptRow)="","",INDEX(Curation!$F:$F,_xlpm.srcRow)))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92" spans="1:4" x14ac:dyDescent="0.3">
      <c r="A292" t="str" cm="1">
        <f t="array" ref="A292">_xlfn.LET(_xlpm.n,ROWS(A$2:A292),_xlpm.block,QUOTIENT(_xlpm.n-1,10),_xlpm.conceptRow,6+_xlpm.block*11,IF(INDEX(Curation!$A:$A,_xlpm.conceptRow)="","",INDEX(Curation!$A:$A,_xlpm.conceptRow)))</f>
        <v>vonat</v>
      </c>
      <c r="B292" t="s">
        <v>472</v>
      </c>
      <c r="C292" cm="1">
        <f t="array" ref="C292">_xlfn.LET(_xlpm.n,ROWS(C$2:C292),_xlpm.block,QUOTIENT(_xlpm.n-1,10),_xlpm.pos,MOD(_xlpm.n-1,10),_xlpm.conceptRow,6+_xlpm.block*11,_xlpm.srcRow,_xlpm.conceptRow+_xlpm.pos,IF(INDEX(Curation!$A:$A,_xlpm.conceptRow)="","",INDEX(Curation!$E:$E,_xlpm.srcRow)))</f>
        <v>6</v>
      </c>
      <c r="D292" cm="1">
        <f t="array" ref="D292">_xlfn.LET(_xlpm.n,ROWS(D$2:D292),_xlpm.block,QUOTIENT(_xlpm.n-1,10),_xlpm.pos,MOD(_xlpm.n-1,10),_xlpm.conceptRow,6+_xlpm.block*11,_xlpm.srcRow,_xlpm.conceptRow+_xlpm.pos,IF(INDEX(Curation!$A:$A,_xlpm.conceptRow)="","",INDEX(Curation!$F:$F,_xlpm.srcRow)))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93" spans="1:4" x14ac:dyDescent="0.3">
      <c r="A293" t="str" cm="1">
        <f t="array" ref="A293">_xlfn.LET(_xlpm.n,ROWS(A$2:A293),_xlpm.block,QUOTIENT(_xlpm.n-1,10),_xlpm.conceptRow,6+_xlpm.block*11,IF(INDEX(Curation!$A:$A,_xlpm.conceptRow)="","",INDEX(Curation!$A:$A,_xlpm.conceptRow)))</f>
        <v>vonat</v>
      </c>
      <c r="B293" t="s">
        <v>473</v>
      </c>
      <c r="C293" cm="1">
        <f t="array" ref="C293">_xlfn.LET(_xlpm.n,ROWS(C$2:C293),_xlpm.block,QUOTIENT(_xlpm.n-1,10),_xlpm.pos,MOD(_xlpm.n-1,10),_xlpm.conceptRow,6+_xlpm.block*11,_xlpm.srcRow,_xlpm.conceptRow+_xlpm.pos,IF(INDEX(Curation!$A:$A,_xlpm.conceptRow)="","",INDEX(Curation!$E:$E,_xlpm.srcRow)))</f>
        <v>5</v>
      </c>
      <c r="D293" cm="1">
        <f t="array" ref="D293">_xlfn.LET(_xlpm.n,ROWS(D$2:D293),_xlpm.block,QUOTIENT(_xlpm.n-1,10),_xlpm.pos,MOD(_xlpm.n-1,10),_xlpm.conceptRow,6+_xlpm.block*11,_xlpm.srcRow,_xlpm.conceptRow+_xlpm.pos,IF(INDEX(Curation!$A:$A,_xlpm.conceptRow)="","",INDEX(Curation!$F:$F,_xlpm.srcRow)))</f>
        <v>0.14299999999999999</v>
      </c>
    </row>
    <row r="294" spans="1:4" x14ac:dyDescent="0.3">
      <c r="A294" t="str" cm="1">
        <f t="array" ref="A294">_xlfn.LET(_xlpm.n,ROWS(A$2:A294),_xlpm.block,QUOTIENT(_xlpm.n-1,10),_xlpm.conceptRow,6+_xlpm.block*11,IF(INDEX(Curation!$A:$A,_xlpm.conceptRow)="","",INDEX(Curation!$A:$A,_xlpm.conceptRow)))</f>
        <v>vonat</v>
      </c>
      <c r="B294" t="s">
        <v>474</v>
      </c>
      <c r="C294" cm="1">
        <f t="array" ref="C294">_xlfn.LET(_xlpm.n,ROWS(C$2:C294),_xlpm.block,QUOTIENT(_xlpm.n-1,10),_xlpm.pos,MOD(_xlpm.n-1,10),_xlpm.conceptRow,6+_xlpm.block*11,_xlpm.srcRow,_xlpm.conceptRow+_xlpm.pos,IF(INDEX(Curation!$A:$A,_xlpm.conceptRow)="","",INDEX(Curation!$E:$E,_xlpm.srcRow)))</f>
        <v>4</v>
      </c>
      <c r="D294" cm="1">
        <f t="array" ref="D294">_xlfn.LET(_xlpm.n,ROWS(D$2:D294),_xlpm.block,QUOTIENT(_xlpm.n-1,10),_xlpm.pos,MOD(_xlpm.n-1,10),_xlpm.conceptRow,6+_xlpm.block*11,_xlpm.srcRow,_xlpm.conceptRow+_xlpm.pos,IF(INDEX(Curation!$A:$A,_xlpm.conceptRow)="","",INDEX(Curation!$F:$F,_xlpm.srcRow)))</f>
        <v>0.05</v>
      </c>
    </row>
    <row r="295" spans="1:4" x14ac:dyDescent="0.3">
      <c r="A295" t="str" cm="1">
        <f t="array" ref="A295">_xlfn.LET(_xlpm.n,ROWS(A$2:A295),_xlpm.block,QUOTIENT(_xlpm.n-1,10),_xlpm.conceptRow,6+_xlpm.block*11,IF(INDEX(Curation!$A:$A,_xlpm.conceptRow)="","",INDEX(Curation!$A:$A,_xlpm.conceptRow)))</f>
        <v>vonat</v>
      </c>
      <c r="B295" t="s">
        <v>475</v>
      </c>
      <c r="C295" cm="1">
        <f t="array" ref="C295">_xlfn.LET(_xlpm.n,ROWS(C$2:C295),_xlpm.block,QUOTIENT(_xlpm.n-1,10),_xlpm.pos,MOD(_xlpm.n-1,10),_xlpm.conceptRow,6+_xlpm.block*11,_xlpm.srcRow,_xlpm.conceptRow+_xlpm.pos,IF(INDEX(Curation!$A:$A,_xlpm.conceptRow)="","",INDEX(Curation!$E:$E,_xlpm.srcRow)))</f>
        <v>3</v>
      </c>
      <c r="D295" cm="1">
        <f t="array" ref="D295">_xlfn.LET(_xlpm.n,ROWS(D$2:D295),_xlpm.block,QUOTIENT(_xlpm.n-1,10),_xlpm.pos,MOD(_xlpm.n-1,10),_xlpm.conceptRow,6+_xlpm.block*11,_xlpm.srcRow,_xlpm.conceptRow+_xlpm.pos,IF(INDEX(Curation!$A:$A,_xlpm.conceptRow)="","",INDEX(Curation!$F:$F,_xlpm.srcRow)))</f>
        <v>0.25</v>
      </c>
    </row>
    <row r="296" spans="1:4" x14ac:dyDescent="0.3">
      <c r="A296" t="str" cm="1">
        <f t="array" ref="A296">_xlfn.LET(_xlpm.n,ROWS(A$2:A296),_xlpm.block,QUOTIENT(_xlpm.n-1,10),_xlpm.conceptRow,6+_xlpm.block*11,IF(INDEX(Curation!$A:$A,_xlpm.conceptRow)="","",INDEX(Curation!$A:$A,_xlpm.conceptRow)))</f>
        <v>vonat</v>
      </c>
      <c r="B296" t="s">
        <v>476</v>
      </c>
      <c r="C296" cm="1">
        <f t="array" ref="C296">_xlfn.LET(_xlpm.n,ROWS(C$2:C296),_xlpm.block,QUOTIENT(_xlpm.n-1,10),_xlpm.pos,MOD(_xlpm.n-1,10),_xlpm.conceptRow,6+_xlpm.block*11,_xlpm.srcRow,_xlpm.conceptRow+_xlpm.pos,IF(INDEX(Curation!$A:$A,_xlpm.conceptRow)="","",INDEX(Curation!$E:$E,_xlpm.srcRow)))</f>
        <v>3</v>
      </c>
      <c r="D296" cm="1">
        <f t="array" ref="D296">_xlfn.LET(_xlpm.n,ROWS(D$2:D296),_xlpm.block,QUOTIENT(_xlpm.n-1,10),_xlpm.pos,MOD(_xlpm.n-1,10),_xlpm.conceptRow,6+_xlpm.block*11,_xlpm.srcRow,_xlpm.conceptRow+_xlpm.pos,IF(INDEX(Curation!$A:$A,_xlpm.conceptRow)="","",INDEX(Curation!$F:$F,_xlpm.srcRow)))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297" spans="1:4" x14ac:dyDescent="0.3">
      <c r="A297" t="str" cm="1">
        <f t="array" ref="A297">_xlfn.LET(_xlpm.n,ROWS(A$2:A297),_xlpm.block,QUOTIENT(_xlpm.n-1,10),_xlpm.conceptRow,6+_xlpm.block*11,IF(INDEX(Curation!$A:$A,_xlpm.conceptRow)="","",INDEX(Curation!$A:$A,_xlpm.conceptRow)))</f>
        <v>vonat</v>
      </c>
      <c r="B297" t="s">
        <v>477</v>
      </c>
      <c r="C297" cm="1">
        <f t="array" ref="C297">_xlfn.LET(_xlpm.n,ROWS(C$2:C297),_xlpm.block,QUOTIENT(_xlpm.n-1,10),_xlpm.pos,MOD(_xlpm.n-1,10),_xlpm.conceptRow,6+_xlpm.block*11,_xlpm.srcRow,_xlpm.conceptRow+_xlpm.pos,IF(INDEX(Curation!$A:$A,_xlpm.conceptRow)="","",INDEX(Curation!$E:$E,_xlpm.srcRow)))</f>
        <v>17</v>
      </c>
      <c r="D297" cm="1">
        <f t="array" ref="D297">_xlfn.LET(_xlpm.n,ROWS(D$2:D297),_xlpm.block,QUOTIENT(_xlpm.n-1,10),_xlpm.pos,MOD(_xlpm.n-1,10),_xlpm.conceptRow,6+_xlpm.block*11,_xlpm.srcRow,_xlpm.conceptRow+_xlpm.pos,IF(INDEX(Curation!$A:$A,_xlpm.conceptRow)="","",INDEX(Curation!$F:$F,_xlpm.srcRow)))</f>
        <v>0.16700000000000001</v>
      </c>
    </row>
    <row r="298" spans="1:4" x14ac:dyDescent="0.3">
      <c r="A298" t="str" cm="1">
        <f t="array" ref="A298">_xlfn.LET(_xlpm.n,ROWS(A$2:A298),_xlpm.block,QUOTIENT(_xlpm.n-1,10),_xlpm.conceptRow,6+_xlpm.block*11,IF(INDEX(Curation!$A:$A,_xlpm.conceptRow)="","",INDEX(Curation!$A:$A,_xlpm.conceptRow)))</f>
        <v>vonat</v>
      </c>
      <c r="B298" t="s">
        <v>478</v>
      </c>
      <c r="C298" cm="1">
        <f t="array" ref="C298">_xlfn.LET(_xlpm.n,ROWS(C$2:C298),_xlpm.block,QUOTIENT(_xlpm.n-1,10),_xlpm.pos,MOD(_xlpm.n-1,10),_xlpm.conceptRow,6+_xlpm.block*11,_xlpm.srcRow,_xlpm.conceptRow+_xlpm.pos,IF(INDEX(Curation!$A:$A,_xlpm.conceptRow)="","",INDEX(Curation!$E:$E,_xlpm.srcRow)))</f>
        <v>2</v>
      </c>
      <c r="D298" cm="1">
        <f t="array" ref="D298">_xlfn.LET(_xlpm.n,ROWS(D$2:D298),_xlpm.block,QUOTIENT(_xlpm.n-1,10),_xlpm.pos,MOD(_xlpm.n-1,10),_xlpm.conceptRow,6+_xlpm.block*11,_xlpm.srcRow,_xlpm.conceptRow+_xlpm.pos,IF(INDEX(Curation!$A:$A,_xlpm.conceptRow)="","",INDEX(Curation!$F:$F,_xlpm.srcRow)))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299" spans="1:4" x14ac:dyDescent="0.3">
      <c r="A299" t="str" cm="1">
        <f t="array" ref="A299">_xlfn.LET(_xlpm.n,ROWS(A$2:A299),_xlpm.block,QUOTIENT(_xlpm.n-1,10),_xlpm.conceptRow,6+_xlpm.block*11,IF(INDEX(Curation!$A:$A,_xlpm.conceptRow)="","",INDEX(Curation!$A:$A,_xlpm.conceptRow)))</f>
        <v>vonat</v>
      </c>
      <c r="B299" t="s">
        <v>479</v>
      </c>
      <c r="C299" cm="1">
        <f t="array" ref="C299">_xlfn.LET(_xlpm.n,ROWS(C$2:C299),_xlpm.block,QUOTIENT(_xlpm.n-1,10),_xlpm.pos,MOD(_xlpm.n-1,10),_xlpm.conceptRow,6+_xlpm.block*11,_xlpm.srcRow,_xlpm.conceptRow+_xlpm.pos,IF(INDEX(Curation!$A:$A,_xlpm.conceptRow)="","",INDEX(Curation!$E:$E,_xlpm.srcRow)))</f>
        <v>2</v>
      </c>
      <c r="D299" cm="1">
        <f t="array" ref="D299">_xlfn.LET(_xlpm.n,ROWS(D$2:D299),_xlpm.block,QUOTIENT(_xlpm.n-1,10),_xlpm.pos,MOD(_xlpm.n-1,10),_xlpm.conceptRow,6+_xlpm.block*11,_xlpm.srcRow,_xlpm.conceptRow+_xlpm.pos,IF(INDEX(Curation!$A:$A,_xlpm.conceptRow)="","",INDEX(Curation!$F:$F,_xlpm.srcRow)))</f>
        <v>0.2</v>
      </c>
    </row>
    <row r="300" spans="1:4" x14ac:dyDescent="0.3">
      <c r="A300" t="str" cm="1">
        <f t="array" ref="A300">_xlfn.LET(_xlpm.n,ROWS(A$2:A300),_xlpm.block,QUOTIENT(_xlpm.n-1,10),_xlpm.conceptRow,6+_xlpm.block*11,IF(INDEX(Curation!$A:$A,_xlpm.conceptRow)="","",INDEX(Curation!$A:$A,_xlpm.conceptRow)))</f>
        <v>vonat</v>
      </c>
      <c r="B300" t="s">
        <v>480</v>
      </c>
      <c r="C300" cm="1">
        <f t="array" ref="C300">_xlfn.LET(_xlpm.n,ROWS(C$2:C300),_xlpm.block,QUOTIENT(_xlpm.n-1,10),_xlpm.pos,MOD(_xlpm.n-1,10),_xlpm.conceptRow,6+_xlpm.block*11,_xlpm.srcRow,_xlpm.conceptRow+_xlpm.pos,IF(INDEX(Curation!$A:$A,_xlpm.conceptRow)="","",INDEX(Curation!$E:$E,_xlpm.srcRow)))</f>
        <v>8</v>
      </c>
      <c r="D300" cm="1">
        <f t="array" ref="D300">_xlfn.LET(_xlpm.n,ROWS(D$2:D300),_xlpm.block,QUOTIENT(_xlpm.n-1,10),_xlpm.pos,MOD(_xlpm.n-1,10),_xlpm.conceptRow,6+_xlpm.block*11,_xlpm.srcRow,_xlpm.conceptRow+_xlpm.pos,IF(INDEX(Curation!$A:$A,_xlpm.conceptRow)="","",INDEX(Curation!$F:$F,_xlpm.srcRow)))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  <row r="301" spans="1:4" x14ac:dyDescent="0.3">
      <c r="A301" t="str" cm="1">
        <f t="array" ref="A301">_xlfn.LET(_xlpm.n,ROWS(A$2:A301),_xlpm.block,QUOTIENT(_xlpm.n-1,10),_xlpm.conceptRow,6+_xlpm.block*11,IF(INDEX(Curation!$A:$A,_xlpm.conceptRow)="","",INDEX(Curation!$A:$A,_xlpm.conceptRow)))</f>
        <v>vonat</v>
      </c>
      <c r="B301" t="s">
        <v>481</v>
      </c>
      <c r="C301" cm="1">
        <f t="array" ref="C301">_xlfn.LET(_xlpm.n,ROWS(C$2:C301),_xlpm.block,QUOTIENT(_xlpm.n-1,10),_xlpm.pos,MOD(_xlpm.n-1,10),_xlpm.conceptRow,6+_xlpm.block*11,_xlpm.srcRow,_xlpm.conceptRow+_xlpm.pos,IF(INDEX(Curation!$A:$A,_xlpm.conceptRow)="","",INDEX(Curation!$E:$E,_xlpm.srcRow)))</f>
        <v>5</v>
      </c>
      <c r="D301" cm="1">
        <f t="array" ref="D301">_xlfn.LET(_xlpm.n,ROWS(D$2:D301),_xlpm.block,QUOTIENT(_xlpm.n-1,10),_xlpm.pos,MOD(_xlpm.n-1,10),_xlpm.conceptRow,6+_xlpm.block*11,_xlpm.srcRow,_xlpm.conceptRow+_xlpm.pos,IF(INDEX(Curation!$A:$A,_xlpm.conceptRow)="","",INDEX(Curation!$F:$F,_xlpm.srcRow)))</f>
        <v>0.33300000000000002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6DBBC53A1881488B45E915A49AB2B7" ma:contentTypeVersion="13" ma:contentTypeDescription="Create a new document." ma:contentTypeScope="" ma:versionID="c23c56801b99dcbad186ede23c0c3985">
  <xsd:schema xmlns:xsd="http://www.w3.org/2001/XMLSchema" xmlns:xs="http://www.w3.org/2001/XMLSchema" xmlns:p="http://schemas.microsoft.com/office/2006/metadata/properties" xmlns:ns2="04eab4d9-e593-491b-88bc-17d09acde03c" xmlns:ns3="6a0742a3-5d2f-4a32-b1fd-5a4fe32e6c69" targetNamespace="http://schemas.microsoft.com/office/2006/metadata/properties" ma:root="true" ma:fieldsID="7649788ce54ac30f510f2e97c770d73e" ns2:_="" ns3:_="">
    <xsd:import namespace="04eab4d9-e593-491b-88bc-17d09acde03c"/>
    <xsd:import namespace="6a0742a3-5d2f-4a32-b1fd-5a4fe32e6c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ab4d9-e593-491b-88bc-17d09acde0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282b61e-a22a-4a17-8e76-e39c120a5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0742a3-5d2f-4a32-b1fd-5a4fe32e6c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30f63f6-c80f-490c-ad29-e10dcb4fdafc}" ma:internalName="TaxCatchAll" ma:showField="CatchAllData" ma:web="6a0742a3-5d2f-4a32-b1fd-5a4fe32e6c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eab4d9-e593-491b-88bc-17d09acde03c">
      <Terms xmlns="http://schemas.microsoft.com/office/infopath/2007/PartnerControls"/>
    </lcf76f155ced4ddcb4097134ff3c332f>
    <TaxCatchAll xmlns="6a0742a3-5d2f-4a32-b1fd-5a4fe32e6c6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67865D-7810-4B50-A58A-A46101727D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eab4d9-e593-491b-88bc-17d09acde03c"/>
    <ds:schemaRef ds:uri="6a0742a3-5d2f-4a32-b1fd-5a4fe32e6c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94A0F9-D2FD-4D85-A70E-69B0406F2C33}">
  <ds:schemaRefs>
    <ds:schemaRef ds:uri="http://schemas.microsoft.com/office/2006/metadata/properties"/>
    <ds:schemaRef ds:uri="http://schemas.microsoft.com/office/infopath/2007/PartnerControls"/>
    <ds:schemaRef ds:uri="04eab4d9-e593-491b-88bc-17d09acde03c"/>
    <ds:schemaRef ds:uri="6a0742a3-5d2f-4a32-b1fd-5a4fe32e6c69"/>
  </ds:schemaRefs>
</ds:datastoreItem>
</file>

<file path=customXml/itemProps3.xml><?xml version="1.0" encoding="utf-8"?>
<ds:datastoreItem xmlns:ds="http://schemas.openxmlformats.org/officeDocument/2006/customXml" ds:itemID="{18A6A3AC-7F68-43CB-9778-A665D276CD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</vt:lpstr>
      <vt:lpstr>Curation</vt:lpstr>
      <vt:lpstr>FeaturePool</vt:lpstr>
      <vt:lpstr>Progress</vt:lpstr>
      <vt:lpstr>Viz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Ilyés Alex Roland</cp:lastModifiedBy>
  <cp:revision>0</cp:revision>
  <dcterms:created xsi:type="dcterms:W3CDTF">2026-04-17T15:38:03Z</dcterms:created>
  <dcterms:modified xsi:type="dcterms:W3CDTF">2026-04-24T07:37:44Z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0x010100E16DBBC53A1881488B45E915A49AB2B7</vt:lpwstr>
  </property>
  <property fmtid="{D5CDD505-2E9C-101B-9397-08002B2CF9AE}" pid="3" name="MediaServiceImageTags">
    <vt:lpwstr/>
  </property>
</Properties>
</file>